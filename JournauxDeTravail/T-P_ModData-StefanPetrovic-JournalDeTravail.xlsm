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23yde\Desktop\P_ModData\JournauxDeTravail\"/>
    </mc:Choice>
  </mc:AlternateContent>
  <xr:revisionPtr revIDLastSave="0" documentId="13_ncr:1_{623E99DF-2C29-4AB8-81FE-78E39418E6F4}" xr6:coauthVersionLast="45" xr6:coauthVersionMax="45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9" i="157" l="1"/>
  <c r="B170" i="157"/>
  <c r="D153" i="157"/>
  <c r="D172" i="157" s="1"/>
  <c r="D134" i="157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<sst xmlns="http://schemas.openxmlformats.org/spreadsheetml/2006/main" count="152" uniqueCount="47">
  <si>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</si>
  <si>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</si>
  <si>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</si>
  <si>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</si>
  <si>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</si>
  <si>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</si>
  <si>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</si>
  <si>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</si>
  <si>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</si>
  <si>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</si>
  <si>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</si>
  <si>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</si>
  <si>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</si>
  <si>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</si>
  <si>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</si>
  <si>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</si>
  <si>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</si>
  <si>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</si>
  <si>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</si>
  <si>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</si>
  <si>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</si>
  <si>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</si>
  <si>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</si>
  <si>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</si>
  <si>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</si>
  <si>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Préparation du projet</t>
  </si>
  <si>
    <t>Modélisation</t>
  </si>
  <si>
    <t>Écriture de la documentation</t>
  </si>
  <si>
    <t>Journal de travail</t>
  </si>
  <si>
    <t>DD</t>
  </si>
  <si>
    <t>Création de scripte</t>
  </si>
  <si>
    <t>Rapport</t>
  </si>
  <si>
    <t>P_ModData</t>
  </si>
  <si>
    <t>ETML</t>
  </si>
  <si>
    <t>Stefan Petrovic</t>
  </si>
  <si>
    <t>CID3A</t>
  </si>
  <si>
    <t>Max. 9</t>
  </si>
  <si>
    <t>Mise à jour du journal de travail</t>
  </si>
  <si>
    <t>Vacances</t>
  </si>
  <si>
    <t>Mise à jour du Rappot de projet</t>
  </si>
  <si>
    <t>Commencement du mcd.</t>
  </si>
  <si>
    <t>Mise à jour du journal de travail.</t>
  </si>
  <si>
    <t>Modélisation du mcd et discution des différents choix de modélisation pour optimiser.</t>
  </si>
  <si>
    <t>Modélisation mcd (validé) et commencement du mld, mpd.</t>
  </si>
  <si>
    <t>Test rattrapage sur les bases de données</t>
  </si>
  <si>
    <t>Commencement du rapport de projet</t>
  </si>
  <si>
    <t>Maladie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</si>
</sst>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" fontId="15" fillId="8" borderId="34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12" borderId="15" xfId="0" applyFont="1" applyFill="1" applyBorder="1" applyAlignment="1">
      <alignment horizontal="center" vertical="center" wrapText="1"/>
    </xf>
    <xf numFmtId="0" fontId="9" fillId="12" borderId="13" xfId="0" applyFont="1" applyFill="1" applyBorder="1" applyAlignment="1">
      <alignment horizontal="left" vertical="top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0" fillId="0" borderId="2" xfId="0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B2CCDE80-4D5D-4B84-833E-A514A6AF7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34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33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44935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92" t="s">
        <v>29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9AA8A-A0B2-4A61-A7E9-949F5D1780C5}">
  <sheetPr codeName="Feuil9"/>
  <dimension ref="A1:I190"/>
  <sheetViews>
    <sheetView tabSelected="1" topLeftCell="A136" workbookViewId="0">
      <selection activeCell="C158" sqref="C15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9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3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95">
        <v>1</v>
      </c>
      <c r="C22" s="94" t="s">
        <v>41</v>
      </c>
      <c r="D22" s="9"/>
    </row>
    <row r="23" spans="1:9" x14ac:dyDescent="0.25">
      <c r="A23" s="1" t="s">
        <v>26</v>
      </c>
      <c r="B23" s="103">
        <v>8</v>
      </c>
      <c r="C23" s="113" t="s">
        <v>40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3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95">
        <v>1</v>
      </c>
      <c r="C41" s="94" t="s">
        <v>41</v>
      </c>
      <c r="D41" s="9"/>
    </row>
    <row r="42" spans="1:9" x14ac:dyDescent="0.25">
      <c r="A42" s="1" t="s">
        <v>26</v>
      </c>
      <c r="B42" s="103">
        <v>8</v>
      </c>
      <c r="C42" s="113" t="s">
        <v>42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3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28</v>
      </c>
      <c r="B60" s="95">
        <v>1</v>
      </c>
      <c r="C60" s="94" t="s">
        <v>41</v>
      </c>
      <c r="D60" s="9"/>
    </row>
    <row r="61" spans="1:4" x14ac:dyDescent="0.25">
      <c r="A61" s="1" t="s">
        <v>26</v>
      </c>
      <c r="B61" s="103">
        <v>8</v>
      </c>
      <c r="C61" s="113" t="s">
        <v>43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3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95">
        <v>9</v>
      </c>
      <c r="C79" s="94" t="s">
        <v>44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93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95">
        <v>1</v>
      </c>
      <c r="C98" s="94" t="s">
        <v>37</v>
      </c>
      <c r="D98" s="9"/>
    </row>
    <row r="99" spans="1:4" x14ac:dyDescent="0.25">
      <c r="A99" s="1" t="s">
        <v>31</v>
      </c>
      <c r="B99" s="2">
        <v>8</v>
      </c>
      <c r="C99" s="10" t="s">
        <v>45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93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95">
        <v>9</v>
      </c>
      <c r="C117" s="94" t="s">
        <v>46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93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101" t="s">
        <v>21</v>
      </c>
      <c r="B136" s="95">
        <v>9</v>
      </c>
      <c r="C136" s="94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93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96" t="s">
        <v>14</v>
      </c>
      <c r="B153" s="97">
        <v>9</v>
      </c>
      <c r="C153" s="98" t="s">
        <v>23</v>
      </c>
      <c r="D153" s="54">
        <f>D134+7</f>
        <v>44928</v>
      </c>
    </row>
    <row r="154" spans="1:4" ht="27.75" thickBot="1" x14ac:dyDescent="0.3">
      <c r="A154" s="99" t="s">
        <v>3</v>
      </c>
      <c r="B154" s="100" t="s">
        <v>15</v>
      </c>
      <c r="C154" s="99" t="s">
        <v>7</v>
      </c>
      <c r="D154" s="99" t="s">
        <v>13</v>
      </c>
    </row>
    <row r="155" spans="1:4" x14ac:dyDescent="0.25">
      <c r="A155" s="101" t="s">
        <v>21</v>
      </c>
      <c r="B155" s="95">
        <v>9</v>
      </c>
      <c r="C155" s="94" t="s">
        <v>38</v>
      </c>
      <c r="D155" s="102"/>
    </row>
    <row r="156" spans="1:4" x14ac:dyDescent="0.25">
      <c r="A156" s="1"/>
      <c r="B156" s="103"/>
      <c r="C156" s="104"/>
      <c r="D156" s="104"/>
    </row>
    <row r="157" spans="1:4" x14ac:dyDescent="0.25">
      <c r="A157" s="1"/>
      <c r="B157" s="103"/>
      <c r="C157" s="104"/>
      <c r="D157" s="104"/>
    </row>
    <row r="158" spans="1:4" x14ac:dyDescent="0.25">
      <c r="A158" s="1"/>
      <c r="B158" s="103"/>
      <c r="C158" s="104"/>
      <c r="D158" s="104"/>
    </row>
    <row r="159" spans="1:4" x14ac:dyDescent="0.25">
      <c r="A159" s="1"/>
      <c r="B159" s="103"/>
      <c r="C159" s="104"/>
      <c r="D159" s="104"/>
    </row>
    <row r="160" spans="1:4" x14ac:dyDescent="0.25">
      <c r="A160" s="1"/>
      <c r="B160" s="103"/>
      <c r="C160" s="104"/>
      <c r="D160" s="104"/>
    </row>
    <row r="161" spans="1:4" x14ac:dyDescent="0.25">
      <c r="A161" s="1"/>
      <c r="B161" s="103"/>
      <c r="C161" s="104"/>
      <c r="D161" s="104"/>
    </row>
    <row r="162" spans="1:4" x14ac:dyDescent="0.25">
      <c r="A162" s="1"/>
      <c r="B162" s="103"/>
      <c r="C162" s="104"/>
      <c r="D162" s="104"/>
    </row>
    <row r="163" spans="1:4" x14ac:dyDescent="0.25">
      <c r="A163" s="1"/>
      <c r="B163" s="103"/>
      <c r="C163" s="104"/>
      <c r="D163" s="104"/>
    </row>
    <row r="164" spans="1:4" x14ac:dyDescent="0.25">
      <c r="A164" s="103"/>
      <c r="B164" s="103"/>
      <c r="C164" s="104"/>
      <c r="D164" s="104"/>
    </row>
    <row r="165" spans="1:4" x14ac:dyDescent="0.25">
      <c r="A165" s="103"/>
      <c r="B165" s="103"/>
      <c r="C165" s="104"/>
      <c r="D165" s="104"/>
    </row>
    <row r="166" spans="1:4" x14ac:dyDescent="0.25">
      <c r="A166" s="103"/>
      <c r="B166" s="103"/>
      <c r="C166" s="104"/>
      <c r="D166" s="104"/>
    </row>
    <row r="167" spans="1:4" x14ac:dyDescent="0.25">
      <c r="A167" s="105"/>
      <c r="B167" s="105"/>
      <c r="C167" s="106"/>
      <c r="D167" s="106"/>
    </row>
    <row r="168" spans="1:4" x14ac:dyDescent="0.25">
      <c r="A168" s="105"/>
      <c r="B168" s="105"/>
      <c r="C168" s="106"/>
      <c r="D168" s="106"/>
    </row>
    <row r="169" spans="1:4" ht="14.25" thickBot="1" x14ac:dyDescent="0.3">
      <c r="A169" s="107"/>
      <c r="B169" s="107"/>
      <c r="C169" s="108"/>
      <c r="D169" s="108"/>
    </row>
    <row r="170" spans="1:4" ht="14.25" thickBot="1" x14ac:dyDescent="0.3">
      <c r="A170" s="109" t="s">
        <v>22</v>
      </c>
      <c r="B170" s="109">
        <f>SUM(B155:B169)</f>
        <v>9</v>
      </c>
      <c r="C170" s="110" t="s">
        <v>36</v>
      </c>
      <c r="D170" s="111"/>
    </row>
    <row r="171" spans="1:4" ht="15" thickBot="1" x14ac:dyDescent="0.35">
      <c r="A171" s="112"/>
      <c r="B171" s="112"/>
      <c r="C171" s="112"/>
      <c r="D171" s="112"/>
    </row>
    <row r="172" spans="1:4" ht="18.75" thickBot="1" x14ac:dyDescent="0.3">
      <c r="A172" s="96" t="s">
        <v>14</v>
      </c>
      <c r="B172" s="97">
        <v>10</v>
      </c>
      <c r="C172" s="98" t="s">
        <v>23</v>
      </c>
      <c r="D172" s="54">
        <f>D153+7</f>
        <v>44935</v>
      </c>
    </row>
    <row r="173" spans="1:4" ht="27.75" thickBot="1" x14ac:dyDescent="0.3">
      <c r="A173" s="99" t="s">
        <v>3</v>
      </c>
      <c r="B173" s="100" t="s">
        <v>15</v>
      </c>
      <c r="C173" s="99" t="s">
        <v>7</v>
      </c>
      <c r="D173" s="99" t="s">
        <v>13</v>
      </c>
    </row>
    <row r="174" spans="1:4" x14ac:dyDescent="0.25">
      <c r="A174" s="5" t="s">
        <v>28</v>
      </c>
      <c r="B174" s="95">
        <v>1</v>
      </c>
      <c r="C174" s="94" t="s">
        <v>37</v>
      </c>
      <c r="D174" s="102"/>
    </row>
    <row r="175" spans="1:4" x14ac:dyDescent="0.25">
      <c r="A175" s="1" t="s">
        <v>31</v>
      </c>
      <c r="B175" s="103">
        <v>8</v>
      </c>
      <c r="C175" s="104" t="s">
        <v>39</v>
      </c>
      <c r="D175" s="104"/>
    </row>
    <row r="176" spans="1:4" x14ac:dyDescent="0.25">
      <c r="A176" s="1"/>
      <c r="B176" s="103"/>
      <c r="C176" s="104"/>
      <c r="D176" s="104"/>
    </row>
    <row r="177" spans="1:4" x14ac:dyDescent="0.25">
      <c r="A177" s="1"/>
      <c r="B177" s="103"/>
      <c r="C177" s="104"/>
      <c r="D177" s="104"/>
    </row>
    <row r="178" spans="1:4" x14ac:dyDescent="0.25">
      <c r="A178" s="1"/>
      <c r="B178" s="103"/>
      <c r="C178" s="104"/>
      <c r="D178" s="104"/>
    </row>
    <row r="179" spans="1:4" x14ac:dyDescent="0.25">
      <c r="A179" s="1"/>
      <c r="B179" s="103"/>
      <c r="C179" s="104"/>
      <c r="D179" s="104"/>
    </row>
    <row r="180" spans="1:4" x14ac:dyDescent="0.25">
      <c r="A180" s="1"/>
      <c r="B180" s="103"/>
      <c r="C180" s="104"/>
      <c r="D180" s="104"/>
    </row>
    <row r="181" spans="1:4" x14ac:dyDescent="0.25">
      <c r="A181" s="1"/>
      <c r="B181" s="103"/>
      <c r="C181" s="104"/>
      <c r="D181" s="104"/>
    </row>
    <row r="182" spans="1:4" x14ac:dyDescent="0.25">
      <c r="A182" s="1"/>
      <c r="B182" s="103"/>
      <c r="C182" s="104"/>
      <c r="D182" s="104"/>
    </row>
    <row r="183" spans="1:4" x14ac:dyDescent="0.25">
      <c r="A183" s="103"/>
      <c r="B183" s="103"/>
      <c r="C183" s="104"/>
      <c r="D183" s="104"/>
    </row>
    <row r="184" spans="1:4" x14ac:dyDescent="0.25">
      <c r="A184" s="103"/>
      <c r="B184" s="103"/>
      <c r="C184" s="104"/>
      <c r="D184" s="104"/>
    </row>
    <row r="185" spans="1:4" x14ac:dyDescent="0.25">
      <c r="A185" s="103"/>
      <c r="B185" s="103"/>
      <c r="C185" s="104"/>
      <c r="D185" s="104"/>
    </row>
    <row r="186" spans="1:4" x14ac:dyDescent="0.25">
      <c r="A186" s="105"/>
      <c r="B186" s="105"/>
      <c r="C186" s="106"/>
      <c r="D186" s="106"/>
    </row>
    <row r="187" spans="1:4" x14ac:dyDescent="0.25">
      <c r="A187" s="105"/>
      <c r="B187" s="105"/>
      <c r="C187" s="106"/>
      <c r="D187" s="106"/>
    </row>
    <row r="188" spans="1:4" ht="14.25" thickBot="1" x14ac:dyDescent="0.3">
      <c r="A188" s="107"/>
      <c r="B188" s="107"/>
      <c r="C188" s="108"/>
      <c r="D188" s="108"/>
    </row>
    <row r="189" spans="1:4" ht="14.25" thickBot="1" x14ac:dyDescent="0.3">
      <c r="A189" s="109" t="s">
        <v>22</v>
      </c>
      <c r="B189" s="109">
        <f>SUM(B174:B188)</f>
        <v>9</v>
      </c>
      <c r="C189" s="110" t="s">
        <v>36</v>
      </c>
      <c r="D189" s="111"/>
    </row>
    <row r="190" spans="1:4" ht="14.25" x14ac:dyDescent="0.3">
      <c r="A190" s="112"/>
      <c r="B190" s="112"/>
      <c r="C190" s="112"/>
      <c r="D190" s="112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5627F4E-3316-4440-BB7D-5B96AF61A37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60:B74 B41:B55 B174:B188 B22:B36 B79:B93 B136:B150 B117:B131 B155:B169 B98:B112" xr:uid="{A74AAA82-A306-450D-A31B-DCB2DD5CA9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9A06C604-E99D-441A-BED9-4C1DCFC187B0}">
      <formula1>0</formula1>
      <formula2>NbPerWeek * NbQuartPer</formula2>
    </dataValidation>
    <dataValidation type="list" allowBlank="1" showInputMessage="1" showErrorMessage="1" sqref="A3:A17 A60:A74 A41:A55 A174:A188 A22:A36 A79:A93 A136:A150 A117:A131 A155:A169 A98:A112" xr:uid="{D7F96D99-1026-4FDD-8041-3817E227F7C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Samuel Develey</cp:lastModifiedBy>
  <cp:lastPrinted>2013-08-29T11:33:15Z</cp:lastPrinted>
  <dcterms:created xsi:type="dcterms:W3CDTF">1996-10-21T11:03:58Z</dcterms:created>
  <dcterms:modified xsi:type="dcterms:W3CDTF">2023-01-09T10:14:28Z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