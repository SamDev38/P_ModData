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pr23yde\Desktop\P_ModData\JournauxDeTravail\"/>
    </mc:Choice>
  </mc:AlternateContent>
  <xr:revisionPtr revIDLastSave="0" documentId="13_ncr:1_{7159EC31-C812-4797-BCB9-282092AA2312}"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72" i="156" l="1"/>
  <c r="D153" i="156"/>
  <c r="B189" i="156"/>
  <c r="B170" i="156"/>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l="1"/>
  <c r="B13" i="11" l="1"/>
</calcChain>
</file>

<file path=xl/sharedStrings.xml><?xml version="1.0" encoding="utf-8"?>
<sst xmlns="http://schemas.openxmlformats.org/spreadsheetml/2006/main" count="218" uniqueCount="51">
  <si>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</si>
  <si>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</si>
  <si>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</si>
  <si>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</si>
  <si>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</si>
  <si>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</si>
  <si>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</si>
  <si>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</si>
  <si>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</si>
  <si>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</si>
  <si>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</si>
  <si>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</si>
  <si>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</si>
  <si>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</si>
  <si>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</si>
  <si>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</si>
  <si>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</si>
  <si>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</si>
  <si>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</si>
  <si>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</si>
  <si>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</si>
  <si>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</si>
  <si>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</si>
  <si>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</si>
  <si>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P_ModData</t>
  </si>
  <si>
    <t>Samuel Develey</t>
  </si>
  <si>
    <t>MID3</t>
  </si>
  <si>
    <t>ETML</t>
  </si>
  <si>
    <t>Lecture du CDC</t>
  </si>
  <si>
    <t>Préparation du projet</t>
  </si>
  <si>
    <t>Modélisation</t>
  </si>
  <si>
    <t>Écriture de la documentation</t>
  </si>
  <si>
    <t>Journal de travail</t>
  </si>
  <si>
    <t>Max. 9</t>
  </si>
  <si>
    <t>STOP</t>
  </si>
  <si>
    <t>entretien pour le stage de l'ETML</t>
  </si>
  <si>
    <t xml:space="preserve">j'ai lu le cdc afin de comprendre et cibler les spécificités du projet afin </t>
  </si>
  <si>
    <t>DD</t>
  </si>
  <si>
    <t>Mise en place du dictionnaire de donnée</t>
  </si>
  <si>
    <t>Nous avons mis en place l'infrastructure du projet (git, les différentes tâches…)</t>
  </si>
  <si>
    <t>Mise à jour du journal de travail</t>
  </si>
  <si>
    <t>Nous avons continué la modélisation du mcd et nous avons pu discuter des différents choix possible de modélisation pour optimiser au mieux la base de donnée</t>
  </si>
  <si>
    <t>finission de la modélisation du mcd (validé par le client) et passage au mld puis mpd</t>
  </si>
  <si>
    <t>Création de scripte</t>
  </si>
  <si>
    <t>création du scripte de création de la db</t>
  </si>
  <si>
    <t>création du scripte pour l'insertion des données</t>
  </si>
  <si>
    <t xml:space="preserve">nous avons perdu l'avancement de la dernière fois, donc nous avons dû recréer le scripte pour l'insertion des données. Il est presques terminé, il ne reste que l'insertion des données dans 2 tables </t>
  </si>
  <si>
    <t>Finission des scriptes, tout fonctionne</t>
  </si>
  <si>
    <t>Rapport</t>
  </si>
  <si>
    <t>avancement dans le rapport de projet</t>
  </si>
  <si>
    <t>Vacances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</si>
</sst>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1" fontId="15" fillId="8" borderId="34" xfId="0" applyNumberFormat="1" applyFont="1" applyFill="1" applyBorder="1" applyAlignment="1" applyProtection="1">
      <alignment horizontal="left" vertical="center" indent="2"/>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1" xfId="1"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9" sqref="C9:C1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44872</v>
      </c>
      <c r="D9" s="60"/>
      <c r="E9" s="60"/>
      <c r="F9" s="60"/>
      <c r="G9" s="61"/>
    </row>
    <row r="10" spans="1:7" ht="20.25" x14ac:dyDescent="0.25">
      <c r="A10" s="59"/>
      <c r="B10" s="69" t="s">
        <v>8</v>
      </c>
      <c r="C10" s="70">
        <v>44570</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92" t="s">
        <v>37</v>
      </c>
      <c r="D26" s="60"/>
      <c r="E26" s="60"/>
      <c r="F26" s="60"/>
      <c r="G26" s="61"/>
    </row>
    <row r="27" spans="1:13" ht="20.25" x14ac:dyDescent="0.25">
      <c r="A27" s="79"/>
      <c r="B27" s="80">
        <v>7</v>
      </c>
      <c r="C27" s="72" t="s">
        <v>43</v>
      </c>
      <c r="D27" s="60"/>
      <c r="E27" s="60"/>
      <c r="F27" s="60"/>
      <c r="G27" s="61"/>
    </row>
    <row r="28" spans="1:13" ht="20.25" x14ac:dyDescent="0.25">
      <c r="A28" s="79"/>
      <c r="B28" s="80">
        <v>8</v>
      </c>
      <c r="C28" s="72" t="s">
        <v>48</v>
      </c>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12383-6B14-4A44-8310-AB93BBE5AF8E}">
  <sheetPr codeName="Feuil5"/>
  <dimension ref="A1:I113"/>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88" t="s">
        <v>33</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c r="B17" s="4"/>
      <c r="C17" s="9"/>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0</v>
      </c>
      <c r="C27" s="88" t="s">
        <v>33</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33</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c r="B45" s="4"/>
      <c r="C45" s="9"/>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0</v>
      </c>
      <c r="C55" s="88" t="s">
        <v>33</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0</v>
      </c>
      <c r="C69" s="88" t="s">
        <v>33</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0</v>
      </c>
      <c r="C83" s="88" t="s">
        <v>33</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0</v>
      </c>
      <c r="C97" s="88" t="s">
        <v>33</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0</v>
      </c>
      <c r="C111" s="88" t="s">
        <v>33</v>
      </c>
      <c r="D111" s="13"/>
    </row>
    <row r="112" spans="1:4" ht="14.25" x14ac:dyDescent="0.3">
      <c r="A112" s="14"/>
      <c r="B112" s="14"/>
      <c r="C112" s="14"/>
      <c r="D112" s="14"/>
    </row>
    <row r="113" spans="1:1" x14ac:dyDescent="0.25">
      <c r="A113" s="89" t="s">
        <v>34</v>
      </c>
    </row>
  </sheetData>
  <sheetProtection sheet="1" objects="1" scenarios="1" insertRows="0" selectLockedCells="1"/>
  <dataValidations count="4">
    <dataValidation type="list" allowBlank="1" showInputMessage="1" showErrorMessage="1" sqref="A3:A12 A17:A26 A31:A40 A45:A54 A59:A68 A73:A82 A87:A96 A101:A110" xr:uid="{BB834540-4100-4B4D-86B4-EDBC2D06C9EC}">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F4C88844-137A-4246-8F95-CC6312CF7A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ECF47384-D1D0-4FB7-B0B3-535FA81A404E}">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4EE2BE61-5837-475A-9A01-0DF498812791}">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4D13A-1BA0-4C30-9E73-6F8613209202}">
  <sheetPr codeName="Feuil9"/>
  <dimension ref="A1:I190"/>
  <sheetViews>
    <sheetView tabSelected="1" topLeftCell="A163" workbookViewId="0">
      <selection activeCell="C179" sqref="C17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44872</v>
      </c>
    </row>
    <row r="2" spans="1:4" ht="27.75" thickBot="1" x14ac:dyDescent="0.3">
      <c r="A2" s="46" t="s">
        <v>3</v>
      </c>
      <c r="B2" s="47" t="s">
        <v>15</v>
      </c>
      <c r="C2" s="46" t="s">
        <v>7</v>
      </c>
      <c r="D2" s="46" t="s">
        <v>13</v>
      </c>
    </row>
    <row r="3" spans="1:4" s="53" customFormat="1" x14ac:dyDescent="0.25">
      <c r="A3" s="5" t="s">
        <v>28</v>
      </c>
      <c r="B3" s="4">
        <v>2</v>
      </c>
      <c r="C3" s="91" t="s">
        <v>36</v>
      </c>
      <c r="D3" s="9"/>
    </row>
    <row r="4" spans="1:4" s="53" customFormat="1" x14ac:dyDescent="0.25">
      <c r="A4" s="1" t="s">
        <v>29</v>
      </c>
      <c r="B4" s="2">
        <v>5</v>
      </c>
      <c r="C4" s="93" t="s">
        <v>39</v>
      </c>
      <c r="D4" s="10"/>
    </row>
    <row r="5" spans="1:4" s="53" customFormat="1" x14ac:dyDescent="0.25">
      <c r="A5" s="1" t="s">
        <v>37</v>
      </c>
      <c r="B5" s="2">
        <v>2</v>
      </c>
      <c r="C5" s="93" t="s">
        <v>38</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90" t="s">
        <v>33</v>
      </c>
      <c r="D18" s="49"/>
    </row>
    <row r="19" spans="1:9" ht="15" thickBot="1" x14ac:dyDescent="0.35">
      <c r="A19" s="50"/>
      <c r="B19" s="50"/>
      <c r="C19" s="50"/>
      <c r="D19" s="50"/>
    </row>
    <row r="20" spans="1:9" ht="18.75" thickBot="1" x14ac:dyDescent="0.3">
      <c r="A20" s="43" t="s">
        <v>14</v>
      </c>
      <c r="B20" s="44">
        <v>2</v>
      </c>
      <c r="C20" s="45" t="s">
        <v>23</v>
      </c>
      <c r="D20" s="54">
        <f>$D$1+7</f>
        <v>44879</v>
      </c>
    </row>
    <row r="21" spans="1:9" ht="27.75" thickBot="1" x14ac:dyDescent="0.3">
      <c r="A21" s="46" t="s">
        <v>3</v>
      </c>
      <c r="B21" s="47" t="s">
        <v>15</v>
      </c>
      <c r="C21" s="46" t="s">
        <v>7</v>
      </c>
      <c r="D21" s="46" t="s">
        <v>13</v>
      </c>
    </row>
    <row r="22" spans="1:9" x14ac:dyDescent="0.25">
      <c r="A22" s="5" t="s">
        <v>21</v>
      </c>
      <c r="B22" s="4">
        <v>9</v>
      </c>
      <c r="C22" s="91" t="s">
        <v>35</v>
      </c>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90" t="s">
        <v>33</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44886</v>
      </c>
      <c r="E39" s="20"/>
      <c r="F39" s="20"/>
      <c r="G39" s="20"/>
      <c r="H39" s="20"/>
      <c r="I39" s="20"/>
    </row>
    <row r="40" spans="1:9" ht="27.75" thickBot="1" x14ac:dyDescent="0.3">
      <c r="A40" s="46" t="s">
        <v>3</v>
      </c>
      <c r="B40" s="47" t="s">
        <v>15</v>
      </c>
      <c r="C40" s="46" t="s">
        <v>7</v>
      </c>
      <c r="D40" s="46" t="s">
        <v>13</v>
      </c>
    </row>
    <row r="41" spans="1:9" x14ac:dyDescent="0.25">
      <c r="A41" s="5" t="s">
        <v>32</v>
      </c>
      <c r="B41" s="4">
        <v>1</v>
      </c>
      <c r="C41" s="91" t="s">
        <v>40</v>
      </c>
      <c r="D41" s="9"/>
    </row>
    <row r="42" spans="1:9" ht="27" x14ac:dyDescent="0.25">
      <c r="A42" s="1" t="s">
        <v>30</v>
      </c>
      <c r="B42" s="2">
        <v>8</v>
      </c>
      <c r="C42" s="93" t="s">
        <v>41</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90" t="s">
        <v>33</v>
      </c>
      <c r="D56" s="49"/>
    </row>
    <row r="57" spans="1:4" ht="15" thickBot="1" x14ac:dyDescent="0.35">
      <c r="A57" s="50"/>
      <c r="B57" s="50"/>
      <c r="C57" s="50"/>
      <c r="D57" s="50"/>
    </row>
    <row r="58" spans="1:4" ht="18.75" thickBot="1" x14ac:dyDescent="0.3">
      <c r="A58" s="43" t="s">
        <v>14</v>
      </c>
      <c r="B58" s="44">
        <v>4</v>
      </c>
      <c r="C58" s="45" t="s">
        <v>23</v>
      </c>
      <c r="D58" s="54">
        <f>$D$39+7</f>
        <v>44893</v>
      </c>
    </row>
    <row r="59" spans="1:4" ht="27.75" thickBot="1" x14ac:dyDescent="0.3">
      <c r="A59" s="46" t="s">
        <v>3</v>
      </c>
      <c r="B59" s="47" t="s">
        <v>15</v>
      </c>
      <c r="C59" s="46" t="s">
        <v>7</v>
      </c>
      <c r="D59" s="46" t="s">
        <v>13</v>
      </c>
    </row>
    <row r="60" spans="1:4" x14ac:dyDescent="0.25">
      <c r="A60" s="5" t="s">
        <v>32</v>
      </c>
      <c r="B60" s="4">
        <v>1</v>
      </c>
      <c r="C60" s="91" t="s">
        <v>40</v>
      </c>
      <c r="D60" s="9"/>
    </row>
    <row r="61" spans="1:4" x14ac:dyDescent="0.25">
      <c r="A61" s="1" t="s">
        <v>30</v>
      </c>
      <c r="B61" s="2">
        <v>8</v>
      </c>
      <c r="C61" s="93" t="s">
        <v>42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9</v>
      </c>
      <c r="C75" s="90" t="s">
        <v>33</v>
      </c>
      <c r="D75" s="49"/>
    </row>
    <row r="76" spans="1:4" ht="15" thickBot="1" x14ac:dyDescent="0.35">
      <c r="A76" s="50"/>
      <c r="B76" s="50"/>
      <c r="C76" s="50"/>
      <c r="D76" s="50"/>
    </row>
    <row r="77" spans="1:4" ht="18.75" thickBot="1" x14ac:dyDescent="0.3">
      <c r="A77" s="43" t="s">
        <v>14</v>
      </c>
      <c r="B77" s="44">
        <v>5</v>
      </c>
      <c r="C77" s="45" t="s">
        <v>23</v>
      </c>
      <c r="D77" s="54">
        <f>$D$58+7</f>
        <v>44900</v>
      </c>
    </row>
    <row r="78" spans="1:4" ht="27.75" thickBot="1" x14ac:dyDescent="0.3">
      <c r="A78" s="46" t="s">
        <v>3</v>
      </c>
      <c r="B78" s="47" t="s">
        <v>15</v>
      </c>
      <c r="C78" s="46" t="s">
        <v>7</v>
      </c>
      <c r="D78" s="46" t="s">
        <v>13</v>
      </c>
    </row>
    <row r="79" spans="1:4" x14ac:dyDescent="0.25">
      <c r="A79" s="5" t="s">
        <v>32</v>
      </c>
      <c r="B79" s="4">
        <v>1</v>
      </c>
      <c r="C79" s="91" t="s">
        <v>40</v>
      </c>
      <c r="D79" s="9"/>
    </row>
    <row r="80" spans="1:4" x14ac:dyDescent="0.25">
      <c r="A80" s="1" t="s">
        <v>43</v>
      </c>
      <c r="B80" s="2">
        <v>1</v>
      </c>
      <c r="C80" s="93" t="s">
        <v>44</v>
      </c>
      <c r="D80" s="10"/>
    </row>
    <row r="81" spans="1:4" x14ac:dyDescent="0.25">
      <c r="A81" s="1" t="s">
        <v>43</v>
      </c>
      <c r="B81" s="2">
        <v>7</v>
      </c>
      <c r="C81" s="93" t="s">
        <v>45</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9</v>
      </c>
      <c r="C94" s="90" t="s">
        <v>33</v>
      </c>
      <c r="D94" s="49"/>
    </row>
    <row r="95" spans="1:4" ht="15" thickBot="1" x14ac:dyDescent="0.35">
      <c r="A95" s="50"/>
      <c r="B95" s="50"/>
      <c r="C95" s="50"/>
      <c r="D95" s="50"/>
    </row>
    <row r="96" spans="1:4" ht="18.75" thickBot="1" x14ac:dyDescent="0.3">
      <c r="A96" s="43" t="s">
        <v>14</v>
      </c>
      <c r="B96" s="44">
        <v>6</v>
      </c>
      <c r="C96" s="45" t="s">
        <v>23</v>
      </c>
      <c r="D96" s="54">
        <f>$D$77+7</f>
        <v>44907</v>
      </c>
    </row>
    <row r="97" spans="1:4" ht="27.75" thickBot="1" x14ac:dyDescent="0.3">
      <c r="A97" s="46" t="s">
        <v>3</v>
      </c>
      <c r="B97" s="47" t="s">
        <v>15</v>
      </c>
      <c r="C97" s="46" t="s">
        <v>7</v>
      </c>
      <c r="D97" s="46" t="s">
        <v>13</v>
      </c>
    </row>
    <row r="98" spans="1:4" x14ac:dyDescent="0.25">
      <c r="A98" s="5" t="s">
        <v>32</v>
      </c>
      <c r="B98" s="4">
        <v>1</v>
      </c>
      <c r="C98" s="91" t="s">
        <v>40</v>
      </c>
      <c r="D98" s="9"/>
    </row>
    <row r="99" spans="1:4" ht="40.5" x14ac:dyDescent="0.25">
      <c r="A99" s="1" t="s">
        <v>43</v>
      </c>
      <c r="B99" s="2">
        <v>8</v>
      </c>
      <c r="C99" s="93" t="s">
        <v>46</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9</v>
      </c>
      <c r="C113" s="90" t="s">
        <v>33</v>
      </c>
      <c r="D113" s="49"/>
    </row>
    <row r="114" spans="1:4" ht="15" thickBot="1" x14ac:dyDescent="0.35">
      <c r="A114" s="50"/>
      <c r="B114" s="50"/>
      <c r="C114" s="50"/>
      <c r="D114" s="50"/>
    </row>
    <row r="115" spans="1:4" ht="18.75" thickBot="1" x14ac:dyDescent="0.3">
      <c r="A115" s="43" t="s">
        <v>14</v>
      </c>
      <c r="B115" s="44">
        <v>7</v>
      </c>
      <c r="C115" s="45" t="s">
        <v>23</v>
      </c>
      <c r="D115" s="54">
        <f>$D$96+7</f>
        <v>44914</v>
      </c>
    </row>
    <row r="116" spans="1:4" ht="27.75" thickBot="1" x14ac:dyDescent="0.3">
      <c r="A116" s="46" t="s">
        <v>3</v>
      </c>
      <c r="B116" s="47" t="s">
        <v>15</v>
      </c>
      <c r="C116" s="46" t="s">
        <v>7</v>
      </c>
      <c r="D116" s="46" t="s">
        <v>13</v>
      </c>
    </row>
    <row r="117" spans="1:4" x14ac:dyDescent="0.25">
      <c r="A117" s="5" t="s">
        <v>43</v>
      </c>
      <c r="B117" s="4">
        <v>2</v>
      </c>
      <c r="C117" s="91" t="s">
        <v>47</v>
      </c>
      <c r="D117" s="9"/>
    </row>
    <row r="118" spans="1:4" x14ac:dyDescent="0.25">
      <c r="A118" s="1" t="s">
        <v>48</v>
      </c>
      <c r="B118" s="2">
        <v>7</v>
      </c>
      <c r="C118" s="93" t="s">
        <v>49</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9</v>
      </c>
      <c r="C132" s="90" t="s">
        <v>33</v>
      </c>
      <c r="D132" s="49"/>
    </row>
    <row r="133" spans="1:4" ht="15" thickBot="1" x14ac:dyDescent="0.35">
      <c r="A133" s="50"/>
      <c r="B133" s="50"/>
      <c r="C133" s="50"/>
      <c r="D133" s="50"/>
    </row>
    <row r="134" spans="1:4" ht="18.75" thickBot="1" x14ac:dyDescent="0.3">
      <c r="A134" s="43" t="s">
        <v>14</v>
      </c>
      <c r="B134" s="44">
        <v>8</v>
      </c>
      <c r="C134" s="45" t="s">
        <v>23</v>
      </c>
      <c r="D134" s="54">
        <f>$D$115+7</f>
        <v>44921</v>
      </c>
    </row>
    <row r="135" spans="1:4" ht="27.75" thickBot="1" x14ac:dyDescent="0.3">
      <c r="A135" s="46" t="s">
        <v>3</v>
      </c>
      <c r="B135" s="47" t="s">
        <v>15</v>
      </c>
      <c r="C135" s="46" t="s">
        <v>7</v>
      </c>
      <c r="D135" s="46" t="s">
        <v>13</v>
      </c>
    </row>
    <row r="136" spans="1:4" x14ac:dyDescent="0.25">
      <c r="A136" s="5" t="s">
        <v>21</v>
      </c>
      <c r="B136" s="4">
        <v>9</v>
      </c>
      <c r="C136" s="91" t="s">
        <v>50</v>
      </c>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9</v>
      </c>
      <c r="C151" s="90" t="s">
        <v>33</v>
      </c>
      <c r="D151" s="49"/>
    </row>
    <row r="152" spans="1:4" ht="15" thickBot="1" x14ac:dyDescent="0.35">
      <c r="A152" s="50"/>
      <c r="B152" s="50"/>
      <c r="C152" s="50"/>
      <c r="D152" s="50"/>
    </row>
    <row r="153" spans="1:4" ht="18.75" thickBot="1" x14ac:dyDescent="0.3">
      <c r="A153" s="43" t="s">
        <v>14</v>
      </c>
      <c r="B153" s="44">
        <v>9</v>
      </c>
      <c r="C153" s="45" t="s">
        <v>23</v>
      </c>
      <c r="D153" s="54">
        <f>D134+7</f>
        <v>44928</v>
      </c>
    </row>
    <row r="154" spans="1:4" ht="27.75" thickBot="1" x14ac:dyDescent="0.3">
      <c r="A154" s="46" t="s">
        <v>3</v>
      </c>
      <c r="B154" s="47" t="s">
        <v>15</v>
      </c>
      <c r="C154" s="46" t="s">
        <v>7</v>
      </c>
      <c r="D154" s="46" t="s">
        <v>13</v>
      </c>
    </row>
    <row r="155" spans="1:4" x14ac:dyDescent="0.25">
      <c r="A155" s="98" t="s">
        <v>21</v>
      </c>
      <c r="B155" s="4">
        <v>9</v>
      </c>
      <c r="C155" s="91" t="s">
        <v>50</v>
      </c>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1"/>
      <c r="B167" s="51"/>
      <c r="C167" s="52"/>
      <c r="D167" s="52"/>
    </row>
    <row r="168" spans="1:4" x14ac:dyDescent="0.25">
      <c r="A168" s="51"/>
      <c r="B168" s="51"/>
      <c r="C168" s="52"/>
      <c r="D168" s="52"/>
    </row>
    <row r="169" spans="1:4" ht="14.25" thickBot="1" x14ac:dyDescent="0.3">
      <c r="A169" s="3"/>
      <c r="B169" s="3"/>
      <c r="C169" s="11"/>
      <c r="D169" s="11"/>
    </row>
    <row r="170" spans="1:4" ht="14.25" thickBot="1" x14ac:dyDescent="0.3">
      <c r="A170" s="48" t="s">
        <v>22</v>
      </c>
      <c r="B170" s="48">
        <f>SUM(B155:B169)</f>
        <v>9</v>
      </c>
      <c r="C170" s="90" t="s">
        <v>33</v>
      </c>
      <c r="D170" s="49"/>
    </row>
    <row r="171" spans="1:4" ht="15" thickBot="1" x14ac:dyDescent="0.35">
      <c r="A171" s="50"/>
      <c r="B171" s="50"/>
      <c r="C171" s="50"/>
      <c r="D171" s="50"/>
    </row>
    <row r="172" spans="1:4" ht="18.75" thickBot="1" x14ac:dyDescent="0.3">
      <c r="A172" s="43" t="s">
        <v>14</v>
      </c>
      <c r="B172" s="44">
        <v>10</v>
      </c>
      <c r="C172" s="45" t="s">
        <v>23</v>
      </c>
      <c r="D172" s="54">
        <f>D153+7</f>
        <v>44935</v>
      </c>
    </row>
    <row r="173" spans="1:4" ht="27.75" thickBot="1" x14ac:dyDescent="0.3">
      <c r="A173" s="46" t="s">
        <v>3</v>
      </c>
      <c r="B173" s="47" t="s">
        <v>15</v>
      </c>
      <c r="C173" s="46" t="s">
        <v>7</v>
      </c>
      <c r="D173" s="46" t="s">
        <v>13</v>
      </c>
    </row>
    <row r="174" spans="1:4" ht="14.25" thickBot="1" x14ac:dyDescent="0.3">
      <c r="A174" s="5" t="s">
        <v>48</v>
      </c>
      <c r="B174" s="4">
        <v>8</v>
      </c>
      <c r="C174" s="91" t="s">
        <v>49</v>
      </c>
      <c r="D174" s="9"/>
    </row>
    <row r="175" spans="1:4" x14ac:dyDescent="0.25">
      <c r="A175" s="5" t="s">
        <v>32</v>
      </c>
      <c r="B175" s="4">
        <v>1</v>
      </c>
      <c r="C175" s="91" t="s">
        <v>40</v>
      </c>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1"/>
      <c r="B186" s="51"/>
      <c r="C186" s="52"/>
      <c r="D186" s="52"/>
    </row>
    <row r="187" spans="1:4" x14ac:dyDescent="0.25">
      <c r="A187" s="51"/>
      <c r="B187" s="51"/>
      <c r="C187" s="52"/>
      <c r="D187" s="52"/>
    </row>
    <row r="188" spans="1:4" ht="14.25" thickBot="1" x14ac:dyDescent="0.3">
      <c r="A188" s="3"/>
      <c r="B188" s="3"/>
      <c r="C188" s="11"/>
      <c r="D188" s="11"/>
    </row>
    <row r="189" spans="1:4" ht="14.25" thickBot="1" x14ac:dyDescent="0.3">
      <c r="A189" s="48" t="s">
        <v>22</v>
      </c>
      <c r="B189" s="48">
        <f>SUM(B174:B188)</f>
        <v>9</v>
      </c>
      <c r="C189" s="90" t="s">
        <v>33</v>
      </c>
      <c r="D189" s="49"/>
    </row>
    <row r="190" spans="1:4" ht="14.25" x14ac:dyDescent="0.3">
      <c r="A190" s="50"/>
      <c r="B190" s="50"/>
      <c r="C190" s="50"/>
      <c r="D190" s="50"/>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63AF1702-0589-4FCB-A76A-CE3546EBCDA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B174:B188" xr:uid="{DC00E20E-AD0A-4EDE-82C6-DECF0B34200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xr:uid="{8EE9834F-1101-40D7-9C8B-3083554295D1}">
      <formula1>0</formula1>
      <formula2>NbPerWeek * NbQuartPer</formula2>
    </dataValidation>
    <dataValidation type="list" allowBlank="1" showInputMessage="1" showErrorMessage="1" sqref="A3:A17 A22:A36 A41:A55 A60:A74 A79:A93 A98:A112 A117:A131 A136:A150 A155:A169 A174:A188" xr:uid="{5490CC77-15F7-45D8-B540-CB41D9BE5B4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7" ma:contentTypeDescription="Create a new document." ma:contentTypeScope="" ma:versionID="44e9824ebb565de66444c38a3e4d43df">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116547854b50e63cb554ca1e0163811c"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CE1FA0-C5D9-4249-851D-83AB4A36B0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Aurélien Dévaud</dc:creator>
  <cp:lastModifiedBy>Samuel Develey</cp:lastModifiedBy>
  <cp:lastPrinted>2013-08-29T11:33:15Z</cp:lastPrinted>
  <dcterms:created xsi:type="dcterms:W3CDTF">1996-10-21T11:03:58Z</dcterms:created>
  <dcterms:modified xsi:type="dcterms:W3CDTF">2023-01-09T10:14:57Z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