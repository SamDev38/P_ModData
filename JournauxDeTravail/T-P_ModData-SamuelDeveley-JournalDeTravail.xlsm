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pr23yde\Desktop\P_ModData\JournauxDeTravail\"/>
    </mc:Choice>
  </mc:AlternateContent>
  <xr:revisionPtr revIDLastSave="0" documentId="13_ncr:1_{38DFE257-EC4A-4360-A069-A65C51E06F42}" xr6:coauthVersionLast="45" xr6:coauthVersionMax="45" xr10:uidLastSave="{00000000-0000-0000-0000-000000000000}"/>
  <bookViews>
    <workbookView xWindow="28680" yWindow="-120" windowWidth="29040" windowHeight="15840" activeTab="6" xr2:uid="{00000000-000D-0000-FFFF-FFFF00000000}"/>
  </bookViews>
  <sheets>
    <sheet name="Donnees" sheetId="7" r:id="rId1"/>
    <sheet name="DiagramHeader" sheetId="10" state="hidden" r:id="rId2"/>
    <sheet name="DiagramFooter" sheetId="130" state="hidden" r:id="rId3"/>
    <sheet name="PlanificationWeek" sheetId="11" state="hidden" r:id="rId4"/>
    <sheet name="Planning" sheetId="155" r:id="rId5"/>
    <sheet name="achievementWeek" sheetId="154" state="hidden" r:id="rId6"/>
    <sheet name="JNLTRAV" sheetId="156" r:id="rId7"/>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 localSheetId="4">Planning!$A$1:$D$14</definedName>
    <definedName name="objPlanifWeek">PlanificationWeek!$A$1:$D$14</definedName>
    <definedName name="objRealizedWeek" localSheetId="5">achievementWeek!$A$1:$D$19</definedName>
    <definedName name="objRealizedWeek" localSheetId="6">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34" i="156" l="1"/>
  <c r="D115" i="156"/>
  <c r="D96" i="156"/>
  <c r="D77" i="156"/>
  <c r="D58" i="156"/>
  <c r="D39" i="156"/>
  <c r="D20" i="156"/>
  <c r="D1" i="156"/>
  <c r="B151" i="156"/>
  <c r="B132" i="156"/>
  <c r="B113" i="156"/>
  <c r="B94" i="156"/>
  <c r="B75" i="156"/>
  <c r="B56" i="156"/>
  <c r="B37" i="156"/>
  <c r="B18" i="156"/>
  <c r="B111" i="155"/>
  <c r="B97" i="155"/>
  <c r="B83" i="155"/>
  <c r="B69" i="155"/>
  <c r="B55" i="155"/>
  <c r="B41" i="155"/>
  <c r="B27" i="155"/>
  <c r="B13" i="155"/>
  <c r="B18" i="154" l="1"/>
  <c r="B13" i="11" l="1"/>
</calcChain>
</file>

<file path=xl/sharedStrings.xml><?xml version="1.0" encoding="utf-8"?>
<sst xmlns="http://schemas.openxmlformats.org/spreadsheetml/2006/main" count="190" uniqueCount="47">
  <si>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</si>
  <si>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</si>
  <si>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</si>
  <si>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</si>
  <si>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</si>
  <si>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</si>
  <si>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</si>
  <si>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</si>
  <si>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</si>
  <si>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</si>
  <si>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</si>
  <si>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</si>
  <si>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</si>
  <si>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</si>
  <si>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</si>
  <si>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</si>
  <si>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</si>
  <si>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</si>
  <si>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</si>
  <si>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</si>
  <si>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</si>
  <si>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</si>
  <si>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</si>
  <si>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</si>
  <si>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P_ModData</t>
  </si>
  <si>
    <t>Samuel Develey</t>
  </si>
  <si>
    <t>MID3</t>
  </si>
  <si>
    <t>ETML</t>
  </si>
  <si>
    <t>Lecture du CDC</t>
  </si>
  <si>
    <t>Préparation du projet</t>
  </si>
  <si>
    <t>Modélisation</t>
  </si>
  <si>
    <t>Écriture de la documentation</t>
  </si>
  <si>
    <t>Journal de travail</t>
  </si>
  <si>
    <t>Max. 9</t>
  </si>
  <si>
    <t>STOP</t>
  </si>
  <si>
    <t>entretien pour le stage de l'ETML</t>
  </si>
  <si>
    <t xml:space="preserve">j'ai lu le cdc afin de comprendre et cibler les spécificités du projet afin </t>
  </si>
  <si>
    <t>DD</t>
  </si>
  <si>
    <t>Mise en place du dictionnaire de donnée</t>
  </si>
  <si>
    <t>Nous avons mis en place l'infrastructure du projet (git, les différentes tâches…)</t>
  </si>
  <si>
    <t>Mise à jour du journal de travail</t>
  </si>
  <si>
    <t>Nous avons continué la modélisation du mcd et nous avons pu discuter des différents choix possible de modélisation pour optimiser au mieux la base de donnée</t>
  </si>
  <si>
    <t>finission de la modélisation du mcd (validé par le client) et passage au mld puis mpd</t>
  </si>
  <si>
    <t>Création de scripte</t>
  </si>
  <si>
    <t>création du scripte de création de la db</t>
  </si>
  <si>
    <t>création du scripte pour l'insertion des données</t>
  </si>
  <si>
    <t xml:space="preserve">nous avons perdu l'avancement de la dernière fois, donc nous avons dû recréer le scripte pour l'insertion des données. Il est presques terminé, il ne reste que l'insertion des données dans 2 tables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</si>
</sst>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5">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thin">
        <color indexed="64"/>
      </left>
      <right style="medium">
        <color indexed="64"/>
      </right>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8">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1" xfId="0" applyFont="1" applyFill="1" applyBorder="1" applyAlignment="1" applyProtection="1">
      <alignment horizontal="left" vertical="top" wrapText="1"/>
      <protection locked="0"/>
    </xf>
    <xf numFmtId="1" fontId="15" fillId="8" borderId="34" xfId="0" applyNumberFormat="1" applyFont="1" applyFill="1" applyBorder="1" applyAlignment="1" applyProtection="1">
      <alignment horizontal="left" vertical="center" indent="2"/>
      <protection locked="0"/>
    </xf>
    <xf numFmtId="0" fontId="0" fillId="0" borderId="2" xfId="0" applyFont="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9937" name="btnImportPlanification" hidden="1">
              <a:extLst>
                <a:ext uri="{63B3BB69-23CF-44E3-9099-C40C66FF867C}">
                  <a14:compatExt spid="_x0000_s39937"/>
                </a:ext>
                <a:ext uri="{FF2B5EF4-FFF2-40B4-BE49-F238E27FC236}">
                  <a16:creationId xmlns:a16="http://schemas.microsoft.com/office/drawing/2014/main" id="{00000000-0008-0000-04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0961" name="btnImportRealisation" hidden="1">
              <a:extLst>
                <a:ext uri="{63B3BB69-23CF-44E3-9099-C40C66FF867C}">
                  <a14:compatExt spid="_x0000_s40961"/>
                </a:ext>
                <a:ext uri="{FF2B5EF4-FFF2-40B4-BE49-F238E27FC236}">
                  <a16:creationId xmlns:a16="http://schemas.microsoft.com/office/drawing/2014/main" id="{00000000-0008-0000-06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view="pageBreakPreview" topLeftCell="A16" zoomScaleNormal="100" zoomScaleSheetLayoutView="100" workbookViewId="0">
      <selection activeCell="C35" sqref="C35"/>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24</v>
      </c>
      <c r="D3" s="60"/>
      <c r="E3" s="60"/>
      <c r="F3" s="60"/>
      <c r="G3" s="61"/>
    </row>
    <row r="4" spans="1:7" ht="20.25" x14ac:dyDescent="0.25">
      <c r="A4" s="59"/>
      <c r="B4" s="64" t="s">
        <v>4</v>
      </c>
      <c r="C4" s="65" t="s">
        <v>25</v>
      </c>
      <c r="D4" s="60"/>
      <c r="E4" s="60"/>
      <c r="F4" s="60"/>
      <c r="G4" s="61"/>
    </row>
    <row r="5" spans="1:7" ht="20.25" x14ac:dyDescent="0.25">
      <c r="A5" s="59"/>
      <c r="B5" s="64" t="s">
        <v>1</v>
      </c>
      <c r="C5" s="65" t="s">
        <v>26</v>
      </c>
      <c r="D5" s="60"/>
      <c r="E5" s="60"/>
      <c r="F5" s="60"/>
      <c r="G5" s="61"/>
    </row>
    <row r="6" spans="1:7" ht="21" thickBot="1" x14ac:dyDescent="0.3">
      <c r="A6" s="59"/>
      <c r="B6" s="66" t="s">
        <v>2</v>
      </c>
      <c r="C6" s="67" t="s">
        <v>27</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44872</v>
      </c>
      <c r="D9" s="60"/>
      <c r="E9" s="60"/>
      <c r="F9" s="60"/>
      <c r="G9" s="61"/>
    </row>
    <row r="10" spans="1:7" ht="20.25" x14ac:dyDescent="0.25">
      <c r="A10" s="59"/>
      <c r="B10" s="69" t="s">
        <v>8</v>
      </c>
      <c r="C10" s="70">
        <v>44570</v>
      </c>
      <c r="D10" s="60"/>
      <c r="E10" s="60"/>
      <c r="F10" s="60"/>
      <c r="G10" s="61"/>
    </row>
    <row r="11" spans="1:7" ht="20.25" x14ac:dyDescent="0.25">
      <c r="A11" s="59"/>
      <c r="B11" s="69" t="s">
        <v>10</v>
      </c>
      <c r="C11" s="71">
        <v>8</v>
      </c>
      <c r="D11" s="60"/>
      <c r="E11" s="60"/>
      <c r="F11" s="60"/>
      <c r="G11" s="61"/>
    </row>
    <row r="12" spans="1:7" ht="20.25" x14ac:dyDescent="0.25">
      <c r="A12" s="59"/>
      <c r="B12" s="64" t="s">
        <v>11</v>
      </c>
      <c r="C12" s="72">
        <v>3</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94" t="s">
        <v>19</v>
      </c>
      <c r="C19" s="95"/>
      <c r="D19" s="60"/>
      <c r="E19" s="60"/>
      <c r="F19" s="60"/>
      <c r="G19" s="61"/>
    </row>
    <row r="20" spans="1:13" ht="20.25" x14ac:dyDescent="0.25">
      <c r="A20" s="79"/>
      <c r="B20" s="80" t="s">
        <v>20</v>
      </c>
      <c r="C20" s="81" t="s">
        <v>21</v>
      </c>
      <c r="D20" s="60"/>
      <c r="E20" s="60"/>
      <c r="F20" s="60"/>
      <c r="G20" s="61"/>
    </row>
    <row r="21" spans="1:13" ht="20.25" x14ac:dyDescent="0.25">
      <c r="A21" s="79"/>
      <c r="B21" s="80">
        <v>1</v>
      </c>
      <c r="C21" s="70" t="s">
        <v>28</v>
      </c>
      <c r="D21" s="60"/>
      <c r="E21" s="60"/>
      <c r="F21" s="60"/>
      <c r="G21" s="61"/>
    </row>
    <row r="22" spans="1:13" ht="20.25" x14ac:dyDescent="0.25">
      <c r="A22" s="79"/>
      <c r="B22" s="80">
        <v>2</v>
      </c>
      <c r="C22" s="71" t="s">
        <v>29</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32</v>
      </c>
      <c r="D25" s="60"/>
      <c r="E25" s="60"/>
      <c r="F25" s="60"/>
      <c r="G25" s="61"/>
    </row>
    <row r="26" spans="1:13" ht="20.25" x14ac:dyDescent="0.25">
      <c r="A26" s="79"/>
      <c r="B26" s="82">
        <v>6</v>
      </c>
      <c r="C26" s="92" t="s">
        <v>37</v>
      </c>
      <c r="D26" s="60"/>
      <c r="E26" s="60"/>
      <c r="F26" s="60"/>
      <c r="G26" s="61"/>
    </row>
    <row r="27" spans="1:13" ht="20.25" x14ac:dyDescent="0.25">
      <c r="A27" s="79"/>
      <c r="B27" s="80">
        <v>7</v>
      </c>
      <c r="C27" s="72" t="s">
        <v>43</v>
      </c>
      <c r="D27" s="60"/>
      <c r="E27" s="60"/>
      <c r="F27" s="60"/>
      <c r="G27" s="61"/>
    </row>
    <row r="28" spans="1:13" ht="20.25" x14ac:dyDescent="0.25">
      <c r="A28" s="79"/>
      <c r="B28" s="80">
        <v>8</v>
      </c>
      <c r="C28" s="72"/>
      <c r="D28" s="60"/>
      <c r="E28" s="60"/>
      <c r="F28" s="60"/>
      <c r="G28" s="61"/>
    </row>
    <row r="29" spans="1:13" ht="20.25" x14ac:dyDescent="0.25">
      <c r="A29" s="79"/>
      <c r="B29" s="82">
        <v>9</v>
      </c>
      <c r="C29" s="72"/>
      <c r="D29" s="60"/>
      <c r="E29" s="60"/>
      <c r="F29" s="60"/>
      <c r="G29" s="61"/>
    </row>
    <row r="30" spans="1:13" ht="20.25" x14ac:dyDescent="0.25">
      <c r="A30" s="79"/>
      <c r="B30" s="80">
        <v>10</v>
      </c>
      <c r="C30" s="71"/>
      <c r="D30" s="60"/>
      <c r="E30" s="60"/>
      <c r="F30" s="60"/>
      <c r="G30" s="61"/>
    </row>
    <row r="31" spans="1:13" ht="20.25" x14ac:dyDescent="0.25">
      <c r="A31" s="79"/>
      <c r="B31" s="80">
        <v>11</v>
      </c>
      <c r="C31" s="71"/>
      <c r="D31" s="60"/>
      <c r="E31" s="60"/>
      <c r="F31" s="60"/>
      <c r="G31" s="61"/>
      <c r="H31" s="83"/>
      <c r="I31" s="83"/>
      <c r="J31" s="83"/>
      <c r="K31" s="83"/>
      <c r="L31" s="83"/>
      <c r="M31" s="83"/>
    </row>
    <row r="32" spans="1:13" ht="20.25" x14ac:dyDescent="0.25">
      <c r="A32" s="79"/>
      <c r="B32" s="82">
        <v>12</v>
      </c>
      <c r="C32" s="71"/>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7"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96" t="s">
        <v>21</v>
      </c>
      <c r="C3" s="16">
        <v>0</v>
      </c>
    </row>
    <row r="4" spans="1:4" ht="19.5" customHeight="1" x14ac:dyDescent="0.25">
      <c r="A4" s="19"/>
      <c r="B4" s="97"/>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612383-6B14-4A44-8310-AB93BBE5AF8E}">
  <sheetPr codeName="Feuil5"/>
  <dimension ref="A1:I113"/>
  <sheetViews>
    <sheetView workbookViewId="0"/>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88" t="s">
        <v>33</v>
      </c>
      <c r="D13" s="13"/>
    </row>
    <row r="14" spans="1:4" ht="15" thickBot="1" x14ac:dyDescent="0.35">
      <c r="A14" s="14"/>
      <c r="B14" s="14"/>
      <c r="C14" s="14"/>
      <c r="D14" s="14"/>
    </row>
    <row r="15" spans="1:4" ht="18.75" thickBot="1" x14ac:dyDescent="0.3">
      <c r="A15" s="6" t="s">
        <v>14</v>
      </c>
      <c r="B15" s="7">
        <v>2</v>
      </c>
      <c r="C15" s="17"/>
      <c r="D15" s="87"/>
    </row>
    <row r="16" spans="1:4" ht="27.75" thickBot="1" x14ac:dyDescent="0.3">
      <c r="A16" s="8" t="s">
        <v>3</v>
      </c>
      <c r="B16" s="18" t="s">
        <v>15</v>
      </c>
      <c r="C16" s="8" t="s">
        <v>7</v>
      </c>
      <c r="D16" s="8" t="s">
        <v>13</v>
      </c>
    </row>
    <row r="17" spans="1:9" x14ac:dyDescent="0.25">
      <c r="A17" s="5"/>
      <c r="B17" s="4"/>
      <c r="C17" s="9"/>
      <c r="D17" s="9"/>
    </row>
    <row r="18" spans="1:9" x14ac:dyDescent="0.25">
      <c r="A18" s="1"/>
      <c r="B18" s="2"/>
      <c r="C18" s="10"/>
      <c r="D18" s="10"/>
    </row>
    <row r="19" spans="1:9" x14ac:dyDescent="0.25">
      <c r="A19" s="1"/>
      <c r="B19" s="2"/>
      <c r="C19" s="10"/>
      <c r="D19" s="10"/>
      <c r="E19" s="20"/>
      <c r="F19" s="20"/>
      <c r="G19" s="20"/>
      <c r="H19" s="20"/>
      <c r="I19" s="20"/>
    </row>
    <row r="20" spans="1:9" ht="12.75" customHeight="1" x14ac:dyDescent="0.25">
      <c r="A20" s="1"/>
      <c r="B20" s="2"/>
      <c r="C20" s="10"/>
      <c r="D20" s="10"/>
      <c r="E20" s="20"/>
      <c r="F20" s="32"/>
      <c r="G20" s="33"/>
      <c r="H20" s="34"/>
      <c r="I20" s="20"/>
    </row>
    <row r="21" spans="1:9" ht="15" x14ac:dyDescent="0.25">
      <c r="A21" s="1"/>
      <c r="B21" s="2"/>
      <c r="C21" s="10"/>
      <c r="D21" s="10"/>
      <c r="E21" s="20"/>
      <c r="F21" s="35"/>
      <c r="G21" s="31"/>
      <c r="H21" s="31"/>
      <c r="I21" s="20"/>
    </row>
    <row r="22" spans="1:9" x14ac:dyDescent="0.25">
      <c r="A22" s="1"/>
      <c r="B22" s="2"/>
      <c r="C22" s="10"/>
      <c r="D22" s="10"/>
      <c r="E22" s="20"/>
      <c r="F22" s="37"/>
      <c r="G22" s="38"/>
      <c r="H22" s="38"/>
      <c r="I22" s="20"/>
    </row>
    <row r="23" spans="1:9" x14ac:dyDescent="0.25">
      <c r="A23" s="2"/>
      <c r="B23" s="2"/>
      <c r="C23" s="10"/>
      <c r="D23" s="10"/>
      <c r="E23" s="20"/>
      <c r="F23" s="37"/>
      <c r="G23" s="38"/>
      <c r="H23" s="38"/>
      <c r="I23" s="20"/>
    </row>
    <row r="24" spans="1:9" x14ac:dyDescent="0.25">
      <c r="A24" s="2"/>
      <c r="B24" s="2"/>
      <c r="C24" s="10"/>
      <c r="D24" s="10"/>
      <c r="E24" s="20"/>
      <c r="F24" s="37"/>
      <c r="G24" s="38"/>
      <c r="H24" s="38"/>
      <c r="I24" s="20"/>
    </row>
    <row r="25" spans="1:9" x14ac:dyDescent="0.25">
      <c r="A25" s="2"/>
      <c r="B25" s="2"/>
      <c r="C25" s="10"/>
      <c r="D25" s="10"/>
      <c r="E25" s="20"/>
      <c r="F25" s="37"/>
      <c r="G25" s="38"/>
      <c r="H25" s="38"/>
      <c r="I25" s="20"/>
    </row>
    <row r="26" spans="1:9" ht="14.25" thickBot="1" x14ac:dyDescent="0.3">
      <c r="A26" s="3"/>
      <c r="B26" s="3"/>
      <c r="C26" s="11"/>
      <c r="D26" s="11"/>
      <c r="E26" s="20"/>
      <c r="F26" s="37"/>
      <c r="G26" s="38"/>
      <c r="H26" s="38"/>
      <c r="I26" s="20"/>
    </row>
    <row r="27" spans="1:9" ht="14.25" thickBot="1" x14ac:dyDescent="0.3">
      <c r="A27" s="12" t="s">
        <v>22</v>
      </c>
      <c r="B27" s="12">
        <f>SUM(B17:B26)</f>
        <v>0</v>
      </c>
      <c r="C27" s="88" t="s">
        <v>33</v>
      </c>
      <c r="D27" s="13"/>
      <c r="E27" s="20"/>
      <c r="F27" s="37"/>
      <c r="G27" s="38"/>
      <c r="H27" s="38"/>
      <c r="I27" s="20"/>
    </row>
    <row r="28" spans="1:9" ht="15" thickBot="1" x14ac:dyDescent="0.35">
      <c r="A28" s="14"/>
      <c r="B28" s="14"/>
      <c r="C28" s="14"/>
      <c r="D28" s="14"/>
      <c r="E28" s="20"/>
      <c r="F28" s="37"/>
      <c r="G28" s="38"/>
      <c r="H28" s="38"/>
      <c r="I28" s="20"/>
    </row>
    <row r="29" spans="1:9" ht="18.75" thickBot="1" x14ac:dyDescent="0.3">
      <c r="A29" s="6" t="s">
        <v>14</v>
      </c>
      <c r="B29" s="7">
        <v>3</v>
      </c>
      <c r="C29" s="17"/>
      <c r="D29" s="87"/>
      <c r="E29" s="20"/>
      <c r="F29" s="37"/>
      <c r="G29" s="38"/>
      <c r="H29" s="38"/>
      <c r="I29" s="20"/>
    </row>
    <row r="30" spans="1:9" ht="27.75" thickBot="1" x14ac:dyDescent="0.3">
      <c r="A30" s="8" t="s">
        <v>3</v>
      </c>
      <c r="B30" s="18" t="s">
        <v>15</v>
      </c>
      <c r="C30" s="8" t="s">
        <v>7</v>
      </c>
      <c r="D30" s="8" t="s">
        <v>13</v>
      </c>
      <c r="E30" s="20"/>
      <c r="F30" s="39"/>
      <c r="G30" s="40"/>
      <c r="H30" s="40"/>
      <c r="I30" s="20"/>
    </row>
    <row r="31" spans="1:9" ht="14.25" x14ac:dyDescent="0.3">
      <c r="A31" s="5"/>
      <c r="B31" s="4"/>
      <c r="C31" s="9"/>
      <c r="D31" s="9"/>
      <c r="E31" s="20"/>
      <c r="F31" s="41"/>
      <c r="G31" s="41"/>
      <c r="H31" s="41"/>
      <c r="I31" s="20"/>
    </row>
    <row r="32" spans="1:9" x14ac:dyDescent="0.25">
      <c r="A32" s="1"/>
      <c r="B32" s="2"/>
      <c r="C32" s="10"/>
      <c r="D32" s="10"/>
      <c r="E32" s="20"/>
      <c r="F32" s="20"/>
      <c r="G32" s="20"/>
      <c r="H32" s="20"/>
      <c r="I32" s="20"/>
    </row>
    <row r="33" spans="1:9" x14ac:dyDescent="0.25">
      <c r="A33" s="1"/>
      <c r="B33" s="2"/>
      <c r="C33" s="10"/>
      <c r="D33" s="10"/>
      <c r="E33" s="20"/>
      <c r="F33" s="20"/>
      <c r="G33" s="20"/>
      <c r="H33" s="20"/>
      <c r="I33" s="20"/>
    </row>
    <row r="34" spans="1:9" x14ac:dyDescent="0.25">
      <c r="A34" s="1"/>
      <c r="B34" s="2"/>
      <c r="C34" s="10"/>
      <c r="D34" s="10"/>
      <c r="E34" s="20"/>
      <c r="F34" s="20"/>
      <c r="G34" s="20"/>
      <c r="H34" s="20"/>
      <c r="I34" s="20"/>
    </row>
    <row r="35" spans="1:9" x14ac:dyDescent="0.25">
      <c r="A35" s="1"/>
      <c r="B35" s="2"/>
      <c r="C35" s="10"/>
      <c r="D35" s="10"/>
    </row>
    <row r="36" spans="1:9" x14ac:dyDescent="0.25">
      <c r="A36" s="1"/>
      <c r="B36" s="2"/>
      <c r="C36" s="10"/>
      <c r="D36" s="10"/>
    </row>
    <row r="37" spans="1:9" x14ac:dyDescent="0.25">
      <c r="A37" s="2"/>
      <c r="B37" s="2"/>
      <c r="C37" s="10"/>
      <c r="D37" s="10"/>
    </row>
    <row r="38" spans="1:9" x14ac:dyDescent="0.25">
      <c r="A38" s="2"/>
      <c r="B38" s="2"/>
      <c r="C38" s="10"/>
      <c r="D38" s="10"/>
    </row>
    <row r="39" spans="1:9" x14ac:dyDescent="0.25">
      <c r="A39" s="2"/>
      <c r="B39" s="2"/>
      <c r="C39" s="10"/>
      <c r="D39" s="10"/>
    </row>
    <row r="40" spans="1:9" ht="14.25" thickBot="1" x14ac:dyDescent="0.3">
      <c r="A40" s="3"/>
      <c r="B40" s="3"/>
      <c r="C40" s="11"/>
      <c r="D40" s="11"/>
    </row>
    <row r="41" spans="1:9" ht="14.25" thickBot="1" x14ac:dyDescent="0.3">
      <c r="A41" s="12" t="s">
        <v>22</v>
      </c>
      <c r="B41" s="12">
        <f>SUM(B31:B40)</f>
        <v>0</v>
      </c>
      <c r="C41" s="88" t="s">
        <v>33</v>
      </c>
      <c r="D41" s="13"/>
    </row>
    <row r="42" spans="1:9" ht="15" thickBot="1" x14ac:dyDescent="0.35">
      <c r="A42" s="14"/>
      <c r="B42" s="14"/>
      <c r="C42" s="14"/>
      <c r="D42" s="14"/>
    </row>
    <row r="43" spans="1:9" ht="18.75" thickBot="1" x14ac:dyDescent="0.3">
      <c r="A43" s="6" t="s">
        <v>14</v>
      </c>
      <c r="B43" s="7">
        <v>4</v>
      </c>
      <c r="C43" s="17"/>
      <c r="D43" s="87"/>
    </row>
    <row r="44" spans="1:9" ht="27.75" thickBot="1" x14ac:dyDescent="0.3">
      <c r="A44" s="8" t="s">
        <v>3</v>
      </c>
      <c r="B44" s="18" t="s">
        <v>15</v>
      </c>
      <c r="C44" s="8" t="s">
        <v>7</v>
      </c>
      <c r="D44" s="8" t="s">
        <v>13</v>
      </c>
    </row>
    <row r="45" spans="1:9" x14ac:dyDescent="0.25">
      <c r="A45" s="5"/>
      <c r="B45" s="4"/>
      <c r="C45" s="9"/>
      <c r="D45" s="9"/>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c r="B54" s="3"/>
      <c r="C54" s="11"/>
      <c r="D54" s="11"/>
    </row>
    <row r="55" spans="1:4" ht="14.25" thickBot="1" x14ac:dyDescent="0.3">
      <c r="A55" s="12" t="s">
        <v>22</v>
      </c>
      <c r="B55" s="12">
        <f>SUM(B45:B54)</f>
        <v>0</v>
      </c>
      <c r="C55" s="88" t="s">
        <v>33</v>
      </c>
      <c r="D55" s="13"/>
    </row>
    <row r="56" spans="1:4" ht="15" thickBot="1" x14ac:dyDescent="0.35">
      <c r="A56" s="14"/>
      <c r="B56" s="14"/>
      <c r="C56" s="14"/>
      <c r="D56" s="14"/>
    </row>
    <row r="57" spans="1:4" ht="18.75" thickBot="1" x14ac:dyDescent="0.3">
      <c r="A57" s="6" t="s">
        <v>14</v>
      </c>
      <c r="B57" s="7">
        <v>5</v>
      </c>
      <c r="C57" s="17"/>
      <c r="D57" s="87"/>
    </row>
    <row r="58" spans="1:4" ht="27.75" thickBot="1" x14ac:dyDescent="0.3">
      <c r="A58" s="8" t="s">
        <v>3</v>
      </c>
      <c r="B58" s="18" t="s">
        <v>15</v>
      </c>
      <c r="C58" s="8" t="s">
        <v>7</v>
      </c>
      <c r="D58" s="8" t="s">
        <v>13</v>
      </c>
    </row>
    <row r="59" spans="1:4" x14ac:dyDescent="0.25">
      <c r="A59" s="5"/>
      <c r="B59" s="4"/>
      <c r="C59" s="9"/>
      <c r="D59" s="9"/>
    </row>
    <row r="60" spans="1:4" x14ac:dyDescent="0.25">
      <c r="A60" s="1"/>
      <c r="B60" s="2"/>
      <c r="C60" s="10"/>
      <c r="D60" s="10"/>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c r="B68" s="3"/>
      <c r="C68" s="11"/>
      <c r="D68" s="11"/>
    </row>
    <row r="69" spans="1:4" ht="14.25" thickBot="1" x14ac:dyDescent="0.3">
      <c r="A69" s="12" t="s">
        <v>22</v>
      </c>
      <c r="B69" s="12">
        <f>SUM(B59:B68)</f>
        <v>0</v>
      </c>
      <c r="C69" s="88" t="s">
        <v>33</v>
      </c>
      <c r="D69" s="13"/>
    </row>
    <row r="70" spans="1:4" ht="15" thickBot="1" x14ac:dyDescent="0.35">
      <c r="A70" s="14"/>
      <c r="B70" s="14"/>
      <c r="C70" s="14"/>
      <c r="D70" s="14"/>
    </row>
    <row r="71" spans="1:4" ht="18.75" thickBot="1" x14ac:dyDescent="0.3">
      <c r="A71" s="6" t="s">
        <v>14</v>
      </c>
      <c r="B71" s="7">
        <v>6</v>
      </c>
      <c r="C71" s="17"/>
      <c r="D71" s="87"/>
    </row>
    <row r="72" spans="1:4" ht="27.75" thickBot="1" x14ac:dyDescent="0.3">
      <c r="A72" s="8" t="s">
        <v>3</v>
      </c>
      <c r="B72" s="18" t="s">
        <v>15</v>
      </c>
      <c r="C72" s="8" t="s">
        <v>7</v>
      </c>
      <c r="D72" s="8" t="s">
        <v>13</v>
      </c>
    </row>
    <row r="73" spans="1:4" x14ac:dyDescent="0.25">
      <c r="A73" s="5"/>
      <c r="B73" s="4"/>
      <c r="C73" s="9"/>
      <c r="D73" s="9"/>
    </row>
    <row r="74" spans="1:4" x14ac:dyDescent="0.25">
      <c r="A74" s="1"/>
      <c r="B74" s="2"/>
      <c r="C74" s="10"/>
      <c r="D74" s="10"/>
    </row>
    <row r="75" spans="1:4" x14ac:dyDescent="0.25">
      <c r="A75" s="1"/>
      <c r="B75" s="2"/>
      <c r="C75" s="10"/>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c r="B82" s="3"/>
      <c r="C82" s="11"/>
      <c r="D82" s="11"/>
    </row>
    <row r="83" spans="1:4" ht="14.25" thickBot="1" x14ac:dyDescent="0.3">
      <c r="A83" s="12" t="s">
        <v>22</v>
      </c>
      <c r="B83" s="12">
        <f>SUM(B73:B82)</f>
        <v>0</v>
      </c>
      <c r="C83" s="88" t="s">
        <v>33</v>
      </c>
      <c r="D83" s="13"/>
    </row>
    <row r="84" spans="1:4" ht="15" thickBot="1" x14ac:dyDescent="0.35">
      <c r="A84" s="14"/>
      <c r="B84" s="14"/>
      <c r="C84" s="14"/>
      <c r="D84" s="14"/>
    </row>
    <row r="85" spans="1:4" ht="18.75" thickBot="1" x14ac:dyDescent="0.3">
      <c r="A85" s="6" t="s">
        <v>14</v>
      </c>
      <c r="B85" s="7">
        <v>7</v>
      </c>
      <c r="C85" s="17"/>
      <c r="D85" s="87"/>
    </row>
    <row r="86" spans="1:4" ht="27.75" thickBot="1" x14ac:dyDescent="0.3">
      <c r="A86" s="8" t="s">
        <v>3</v>
      </c>
      <c r="B86" s="18" t="s">
        <v>15</v>
      </c>
      <c r="C86" s="8" t="s">
        <v>7</v>
      </c>
      <c r="D86" s="8" t="s">
        <v>13</v>
      </c>
    </row>
    <row r="87" spans="1:4" x14ac:dyDescent="0.25">
      <c r="A87" s="5"/>
      <c r="B87" s="4"/>
      <c r="C87" s="9"/>
      <c r="D87" s="9"/>
    </row>
    <row r="88" spans="1:4" x14ac:dyDescent="0.25">
      <c r="A88" s="1"/>
      <c r="B88" s="2"/>
      <c r="C88" s="10"/>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c r="B96" s="3"/>
      <c r="C96" s="11"/>
      <c r="D96" s="11"/>
    </row>
    <row r="97" spans="1:4" ht="14.25" thickBot="1" x14ac:dyDescent="0.3">
      <c r="A97" s="12" t="s">
        <v>22</v>
      </c>
      <c r="B97" s="12">
        <f>SUM(B87:B96)</f>
        <v>0</v>
      </c>
      <c r="C97" s="88" t="s">
        <v>33</v>
      </c>
      <c r="D97" s="13"/>
    </row>
    <row r="98" spans="1:4" ht="15" thickBot="1" x14ac:dyDescent="0.35">
      <c r="A98" s="14"/>
      <c r="B98" s="14"/>
      <c r="C98" s="14"/>
      <c r="D98" s="14"/>
    </row>
    <row r="99" spans="1:4" ht="18.75" thickBot="1" x14ac:dyDescent="0.3">
      <c r="A99" s="6" t="s">
        <v>14</v>
      </c>
      <c r="B99" s="7">
        <v>8</v>
      </c>
      <c r="C99" s="17"/>
      <c r="D99" s="87"/>
    </row>
    <row r="100" spans="1:4" ht="27.75" thickBot="1" x14ac:dyDescent="0.3">
      <c r="A100" s="8" t="s">
        <v>3</v>
      </c>
      <c r="B100" s="18" t="s">
        <v>15</v>
      </c>
      <c r="C100" s="8" t="s">
        <v>7</v>
      </c>
      <c r="D100" s="8" t="s">
        <v>13</v>
      </c>
    </row>
    <row r="101" spans="1:4" x14ac:dyDescent="0.25">
      <c r="A101" s="5"/>
      <c r="B101" s="4"/>
      <c r="C101" s="9"/>
      <c r="D101" s="9"/>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c r="B110" s="3"/>
      <c r="C110" s="11"/>
      <c r="D110" s="11"/>
    </row>
    <row r="111" spans="1:4" ht="14.25" thickBot="1" x14ac:dyDescent="0.3">
      <c r="A111" s="12" t="s">
        <v>22</v>
      </c>
      <c r="B111" s="12">
        <f>SUM(B101:B110)</f>
        <v>0</v>
      </c>
      <c r="C111" s="88" t="s">
        <v>33</v>
      </c>
      <c r="D111" s="13"/>
    </row>
    <row r="112" spans="1:4" ht="14.25" x14ac:dyDescent="0.3">
      <c r="A112" s="14"/>
      <c r="B112" s="14"/>
      <c r="C112" s="14"/>
      <c r="D112" s="14"/>
    </row>
    <row r="113" spans="1:1" x14ac:dyDescent="0.25">
      <c r="A113" s="89" t="s">
        <v>34</v>
      </c>
    </row>
  </sheetData>
  <sheetProtection sheet="1" objects="1" scenarios="1" insertRows="0" selectLockedCells="1"/>
  <dataValidations count="4">
    <dataValidation type="list" allowBlank="1" showInputMessage="1" showErrorMessage="1" sqref="A3:A12 A17:A26 A31:A40 A45:A54 A59:A68 A73:A82 A87:A96 A101:A110" xr:uid="{BB834540-4100-4B4D-86B4-EDBC2D06C9EC}">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F4C88844-137A-4246-8F95-CC6312CF7A23}">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xr:uid="{ECF47384-D1D0-4FB7-B0B3-535FA81A404E}">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4EE2BE61-5837-475A-9A01-0DF498812791}">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9937"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9937"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E4D13A-1BA0-4C30-9E73-6F8613209202}">
  <sheetPr codeName="Feuil9"/>
  <dimension ref="A1:I153"/>
  <sheetViews>
    <sheetView tabSelected="1" topLeftCell="A76" workbookViewId="0">
      <selection activeCell="C99" sqref="C99"/>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44872</v>
      </c>
    </row>
    <row r="2" spans="1:4" ht="27.75" thickBot="1" x14ac:dyDescent="0.3">
      <c r="A2" s="46" t="s">
        <v>3</v>
      </c>
      <c r="B2" s="47" t="s">
        <v>15</v>
      </c>
      <c r="C2" s="46" t="s">
        <v>7</v>
      </c>
      <c r="D2" s="46" t="s">
        <v>13</v>
      </c>
    </row>
    <row r="3" spans="1:4" s="53" customFormat="1" x14ac:dyDescent="0.25">
      <c r="A3" s="5" t="s">
        <v>28</v>
      </c>
      <c r="B3" s="4">
        <v>2</v>
      </c>
      <c r="C3" s="91" t="s">
        <v>36</v>
      </c>
      <c r="D3" s="9"/>
    </row>
    <row r="4" spans="1:4" s="53" customFormat="1" x14ac:dyDescent="0.25">
      <c r="A4" s="1" t="s">
        <v>29</v>
      </c>
      <c r="B4" s="2">
        <v>5</v>
      </c>
      <c r="C4" s="93" t="s">
        <v>39</v>
      </c>
      <c r="D4" s="10"/>
    </row>
    <row r="5" spans="1:4" s="53" customFormat="1" x14ac:dyDescent="0.25">
      <c r="A5" s="1" t="s">
        <v>37</v>
      </c>
      <c r="B5" s="2">
        <v>2</v>
      </c>
      <c r="C5" s="93" t="s">
        <v>38</v>
      </c>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9</v>
      </c>
      <c r="C18" s="90" t="s">
        <v>33</v>
      </c>
      <c r="D18" s="49"/>
    </row>
    <row r="19" spans="1:9" ht="15" thickBot="1" x14ac:dyDescent="0.35">
      <c r="A19" s="50"/>
      <c r="B19" s="50"/>
      <c r="C19" s="50"/>
      <c r="D19" s="50"/>
    </row>
    <row r="20" spans="1:9" ht="18.75" thickBot="1" x14ac:dyDescent="0.3">
      <c r="A20" s="43" t="s">
        <v>14</v>
      </c>
      <c r="B20" s="44">
        <v>2</v>
      </c>
      <c r="C20" s="45" t="s">
        <v>23</v>
      </c>
      <c r="D20" s="54">
        <f>$D$1+7</f>
        <v>44879</v>
      </c>
    </row>
    <row r="21" spans="1:9" ht="27.75" thickBot="1" x14ac:dyDescent="0.3">
      <c r="A21" s="46" t="s">
        <v>3</v>
      </c>
      <c r="B21" s="47" t="s">
        <v>15</v>
      </c>
      <c r="C21" s="46" t="s">
        <v>7</v>
      </c>
      <c r="D21" s="46" t="s">
        <v>13</v>
      </c>
    </row>
    <row r="22" spans="1:9" x14ac:dyDescent="0.25">
      <c r="A22" s="5" t="s">
        <v>21</v>
      </c>
      <c r="B22" s="4">
        <v>9</v>
      </c>
      <c r="C22" s="91" t="s">
        <v>35</v>
      </c>
      <c r="D22" s="9"/>
    </row>
    <row r="23" spans="1:9" x14ac:dyDescent="0.25">
      <c r="A23" s="1"/>
      <c r="B23" s="2"/>
      <c r="C23" s="10"/>
      <c r="D23" s="10"/>
    </row>
    <row r="24" spans="1:9" x14ac:dyDescent="0.25">
      <c r="A24" s="1"/>
      <c r="B24" s="2"/>
      <c r="C24" s="10"/>
      <c r="D24" s="10"/>
      <c r="E24" s="20"/>
      <c r="F24" s="20"/>
      <c r="G24" s="20"/>
      <c r="H24" s="20"/>
      <c r="I24" s="20"/>
    </row>
    <row r="25" spans="1:9" ht="12.75" customHeight="1" x14ac:dyDescent="0.25">
      <c r="A25" s="1"/>
      <c r="B25" s="2"/>
      <c r="C25" s="10"/>
      <c r="D25" s="10"/>
      <c r="E25" s="20"/>
      <c r="F25" s="32"/>
      <c r="G25" s="33"/>
      <c r="H25" s="34"/>
      <c r="I25" s="20"/>
    </row>
    <row r="26" spans="1:9" ht="15" x14ac:dyDescent="0.25">
      <c r="A26" s="1"/>
      <c r="B26" s="2"/>
      <c r="C26" s="10"/>
      <c r="D26" s="10"/>
      <c r="E26" s="20"/>
      <c r="F26" s="35"/>
      <c r="G26" s="31"/>
      <c r="H26" s="31"/>
      <c r="I26" s="20"/>
    </row>
    <row r="27" spans="1:9" x14ac:dyDescent="0.25">
      <c r="A27" s="1"/>
      <c r="B27" s="2"/>
      <c r="C27" s="10"/>
      <c r="D27" s="10"/>
      <c r="E27" s="20"/>
      <c r="F27" s="37"/>
      <c r="G27" s="38"/>
      <c r="H27" s="38"/>
      <c r="I27" s="20"/>
    </row>
    <row r="28" spans="1:9" x14ac:dyDescent="0.25">
      <c r="A28" s="1"/>
      <c r="B28" s="2"/>
      <c r="C28" s="10"/>
      <c r="D28" s="10"/>
      <c r="E28" s="20"/>
      <c r="F28" s="37"/>
      <c r="G28" s="38"/>
      <c r="H28" s="38"/>
      <c r="I28" s="20"/>
    </row>
    <row r="29" spans="1:9" x14ac:dyDescent="0.25">
      <c r="A29" s="1"/>
      <c r="B29" s="2"/>
      <c r="C29" s="10"/>
      <c r="D29" s="10"/>
      <c r="E29" s="20"/>
      <c r="F29" s="37"/>
      <c r="G29" s="38"/>
      <c r="H29" s="38"/>
      <c r="I29" s="20"/>
    </row>
    <row r="30" spans="1:9" x14ac:dyDescent="0.25">
      <c r="A30" s="1"/>
      <c r="B30" s="2"/>
      <c r="C30" s="10"/>
      <c r="D30" s="10"/>
      <c r="E30" s="20"/>
      <c r="F30" s="37"/>
      <c r="G30" s="38"/>
      <c r="H30" s="38"/>
      <c r="I30" s="20"/>
    </row>
    <row r="31" spans="1:9" x14ac:dyDescent="0.25">
      <c r="A31" s="2"/>
      <c r="B31" s="2"/>
      <c r="C31" s="10"/>
      <c r="D31" s="10"/>
      <c r="E31" s="20"/>
      <c r="F31" s="37"/>
      <c r="G31" s="38"/>
      <c r="H31" s="38"/>
      <c r="I31" s="20"/>
    </row>
    <row r="32" spans="1:9" x14ac:dyDescent="0.25">
      <c r="A32" s="2"/>
      <c r="B32" s="2"/>
      <c r="C32" s="10"/>
      <c r="D32" s="10"/>
      <c r="E32" s="20"/>
      <c r="F32" s="37"/>
      <c r="G32" s="38"/>
      <c r="H32" s="38"/>
      <c r="I32" s="20"/>
    </row>
    <row r="33" spans="1:9" x14ac:dyDescent="0.25">
      <c r="A33" s="2"/>
      <c r="B33" s="2"/>
      <c r="C33" s="10"/>
      <c r="D33" s="10"/>
      <c r="E33" s="20"/>
      <c r="F33" s="37"/>
      <c r="G33" s="38"/>
      <c r="H33" s="38"/>
      <c r="I33" s="20"/>
    </row>
    <row r="34" spans="1:9" x14ac:dyDescent="0.25">
      <c r="A34" s="51"/>
      <c r="B34" s="51"/>
      <c r="C34" s="52"/>
      <c r="D34" s="52"/>
      <c r="E34" s="20"/>
      <c r="F34" s="37"/>
      <c r="G34" s="38"/>
      <c r="H34" s="38"/>
      <c r="I34" s="20"/>
    </row>
    <row r="35" spans="1:9" x14ac:dyDescent="0.25">
      <c r="A35" s="51"/>
      <c r="B35" s="51"/>
      <c r="C35" s="52"/>
      <c r="D35" s="52"/>
      <c r="E35" s="20"/>
      <c r="F35" s="39"/>
      <c r="G35" s="40"/>
      <c r="H35" s="40"/>
      <c r="I35" s="20"/>
    </row>
    <row r="36" spans="1:9" ht="15" thickBot="1" x14ac:dyDescent="0.35">
      <c r="A36" s="3"/>
      <c r="B36" s="3"/>
      <c r="C36" s="11"/>
      <c r="D36" s="11"/>
      <c r="E36" s="20"/>
      <c r="F36" s="41"/>
      <c r="G36" s="41"/>
      <c r="H36" s="41"/>
      <c r="I36" s="20"/>
    </row>
    <row r="37" spans="1:9" ht="14.25" thickBot="1" x14ac:dyDescent="0.3">
      <c r="A37" s="48" t="s">
        <v>22</v>
      </c>
      <c r="B37" s="48">
        <f>SUM(B22:B36)</f>
        <v>9</v>
      </c>
      <c r="C37" s="90" t="s">
        <v>33</v>
      </c>
      <c r="D37" s="49"/>
      <c r="E37" s="20"/>
      <c r="F37" s="20"/>
      <c r="G37" s="20"/>
      <c r="H37" s="20"/>
      <c r="I37" s="20"/>
    </row>
    <row r="38" spans="1:9" ht="15" thickBot="1" x14ac:dyDescent="0.35">
      <c r="A38" s="50"/>
      <c r="B38" s="50"/>
      <c r="C38" s="50"/>
      <c r="D38" s="50"/>
      <c r="E38" s="20"/>
      <c r="F38" s="20"/>
      <c r="G38" s="20"/>
      <c r="H38" s="20"/>
      <c r="I38" s="20"/>
    </row>
    <row r="39" spans="1:9" ht="18.75" thickBot="1" x14ac:dyDescent="0.3">
      <c r="A39" s="43" t="s">
        <v>14</v>
      </c>
      <c r="B39" s="44">
        <v>3</v>
      </c>
      <c r="C39" s="45" t="s">
        <v>23</v>
      </c>
      <c r="D39" s="54">
        <f>$D$20+7</f>
        <v>44886</v>
      </c>
      <c r="E39" s="20"/>
      <c r="F39" s="20"/>
      <c r="G39" s="20"/>
      <c r="H39" s="20"/>
      <c r="I39" s="20"/>
    </row>
    <row r="40" spans="1:9" ht="27.75" thickBot="1" x14ac:dyDescent="0.3">
      <c r="A40" s="46" t="s">
        <v>3</v>
      </c>
      <c r="B40" s="47" t="s">
        <v>15</v>
      </c>
      <c r="C40" s="46" t="s">
        <v>7</v>
      </c>
      <c r="D40" s="46" t="s">
        <v>13</v>
      </c>
    </row>
    <row r="41" spans="1:9" x14ac:dyDescent="0.25">
      <c r="A41" s="5" t="s">
        <v>32</v>
      </c>
      <c r="B41" s="4">
        <v>1</v>
      </c>
      <c r="C41" s="91" t="s">
        <v>40</v>
      </c>
      <c r="D41" s="9"/>
    </row>
    <row r="42" spans="1:9" ht="27" x14ac:dyDescent="0.25">
      <c r="A42" s="1" t="s">
        <v>30</v>
      </c>
      <c r="B42" s="2">
        <v>8</v>
      </c>
      <c r="C42" s="93" t="s">
        <v>41</v>
      </c>
      <c r="D42" s="10"/>
    </row>
    <row r="43" spans="1:9" x14ac:dyDescent="0.25">
      <c r="A43" s="1"/>
      <c r="B43" s="2"/>
      <c r="C43" s="10"/>
      <c r="D43" s="10"/>
    </row>
    <row r="44" spans="1:9" x14ac:dyDescent="0.25">
      <c r="A44" s="1"/>
      <c r="B44" s="2"/>
      <c r="C44" s="10"/>
      <c r="D44" s="10"/>
    </row>
    <row r="45" spans="1:9" x14ac:dyDescent="0.25">
      <c r="A45" s="1"/>
      <c r="B45" s="2"/>
      <c r="C45" s="10"/>
      <c r="D45" s="10"/>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1"/>
      <c r="B53" s="51"/>
      <c r="C53" s="52"/>
      <c r="D53" s="52"/>
    </row>
    <row r="54" spans="1:4" x14ac:dyDescent="0.25">
      <c r="A54" s="51"/>
      <c r="B54" s="51"/>
      <c r="C54" s="52"/>
      <c r="D54" s="52"/>
    </row>
    <row r="55" spans="1:4" ht="14.25" thickBot="1" x14ac:dyDescent="0.3">
      <c r="A55" s="3"/>
      <c r="B55" s="3"/>
      <c r="C55" s="11"/>
      <c r="D55" s="11"/>
    </row>
    <row r="56" spans="1:4" ht="14.25" thickBot="1" x14ac:dyDescent="0.3">
      <c r="A56" s="48" t="s">
        <v>22</v>
      </c>
      <c r="B56" s="48">
        <f>SUM(B41:B55)</f>
        <v>9</v>
      </c>
      <c r="C56" s="90" t="s">
        <v>33</v>
      </c>
      <c r="D56" s="49"/>
    </row>
    <row r="57" spans="1:4" ht="15" thickBot="1" x14ac:dyDescent="0.35">
      <c r="A57" s="50"/>
      <c r="B57" s="50"/>
      <c r="C57" s="50"/>
      <c r="D57" s="50"/>
    </row>
    <row r="58" spans="1:4" ht="18.75" thickBot="1" x14ac:dyDescent="0.3">
      <c r="A58" s="43" t="s">
        <v>14</v>
      </c>
      <c r="B58" s="44">
        <v>4</v>
      </c>
      <c r="C58" s="45" t="s">
        <v>23</v>
      </c>
      <c r="D58" s="54">
        <f>$D$39+7</f>
        <v>44893</v>
      </c>
    </row>
    <row r="59" spans="1:4" ht="27.75" thickBot="1" x14ac:dyDescent="0.3">
      <c r="A59" s="46" t="s">
        <v>3</v>
      </c>
      <c r="B59" s="47" t="s">
        <v>15</v>
      </c>
      <c r="C59" s="46" t="s">
        <v>7</v>
      </c>
      <c r="D59" s="46" t="s">
        <v>13</v>
      </c>
    </row>
    <row r="60" spans="1:4" x14ac:dyDescent="0.25">
      <c r="A60" s="5" t="s">
        <v>32</v>
      </c>
      <c r="B60" s="4">
        <v>1</v>
      </c>
      <c r="C60" s="91" t="s">
        <v>40</v>
      </c>
      <c r="D60" s="9"/>
    </row>
    <row r="61" spans="1:4" x14ac:dyDescent="0.25">
      <c r="A61" s="1" t="s">
        <v>30</v>
      </c>
      <c r="B61" s="2">
        <v>8</v>
      </c>
      <c r="C61" s="93" t="s">
        <v>42</v>
      </c>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1"/>
      <c r="B72" s="51"/>
      <c r="C72" s="52"/>
      <c r="D72" s="52"/>
    </row>
    <row r="73" spans="1:4" x14ac:dyDescent="0.25">
      <c r="A73" s="51"/>
      <c r="B73" s="51"/>
      <c r="C73" s="52"/>
      <c r="D73" s="52"/>
    </row>
    <row r="74" spans="1:4" ht="14.25" thickBot="1" x14ac:dyDescent="0.3">
      <c r="A74" s="3"/>
      <c r="B74" s="3"/>
      <c r="C74" s="11"/>
      <c r="D74" s="11"/>
    </row>
    <row r="75" spans="1:4" ht="14.25" thickBot="1" x14ac:dyDescent="0.3">
      <c r="A75" s="48" t="s">
        <v>22</v>
      </c>
      <c r="B75" s="48">
        <f>SUM(B60:B74)</f>
        <v>9</v>
      </c>
      <c r="C75" s="90" t="s">
        <v>33</v>
      </c>
      <c r="D75" s="49"/>
    </row>
    <row r="76" spans="1:4" ht="15" thickBot="1" x14ac:dyDescent="0.35">
      <c r="A76" s="50"/>
      <c r="B76" s="50"/>
      <c r="C76" s="50"/>
      <c r="D76" s="50"/>
    </row>
    <row r="77" spans="1:4" ht="18.75" thickBot="1" x14ac:dyDescent="0.3">
      <c r="A77" s="43" t="s">
        <v>14</v>
      </c>
      <c r="B77" s="44">
        <v>5</v>
      </c>
      <c r="C77" s="45" t="s">
        <v>23</v>
      </c>
      <c r="D77" s="54">
        <f>$D$58+7</f>
        <v>44900</v>
      </c>
    </row>
    <row r="78" spans="1:4" ht="27.75" thickBot="1" x14ac:dyDescent="0.3">
      <c r="A78" s="46" t="s">
        <v>3</v>
      </c>
      <c r="B78" s="47" t="s">
        <v>15</v>
      </c>
      <c r="C78" s="46" t="s">
        <v>7</v>
      </c>
      <c r="D78" s="46" t="s">
        <v>13</v>
      </c>
    </row>
    <row r="79" spans="1:4" x14ac:dyDescent="0.25">
      <c r="A79" s="5" t="s">
        <v>32</v>
      </c>
      <c r="B79" s="4">
        <v>1</v>
      </c>
      <c r="C79" s="91" t="s">
        <v>40</v>
      </c>
      <c r="D79" s="9"/>
    </row>
    <row r="80" spans="1:4" x14ac:dyDescent="0.25">
      <c r="A80" s="1" t="s">
        <v>43</v>
      </c>
      <c r="B80" s="2">
        <v>1</v>
      </c>
      <c r="C80" s="93" t="s">
        <v>44</v>
      </c>
      <c r="D80" s="10"/>
    </row>
    <row r="81" spans="1:4" x14ac:dyDescent="0.25">
      <c r="A81" s="1" t="s">
        <v>43</v>
      </c>
      <c r="B81" s="2">
        <v>7</v>
      </c>
      <c r="C81" s="93" t="s">
        <v>45</v>
      </c>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1"/>
      <c r="B91" s="51"/>
      <c r="C91" s="52"/>
      <c r="D91" s="52"/>
    </row>
    <row r="92" spans="1:4" x14ac:dyDescent="0.25">
      <c r="A92" s="51"/>
      <c r="B92" s="51"/>
      <c r="C92" s="52"/>
      <c r="D92" s="52"/>
    </row>
    <row r="93" spans="1:4" ht="14.25" thickBot="1" x14ac:dyDescent="0.3">
      <c r="A93" s="3"/>
      <c r="B93" s="3"/>
      <c r="C93" s="11"/>
      <c r="D93" s="11"/>
    </row>
    <row r="94" spans="1:4" ht="14.25" thickBot="1" x14ac:dyDescent="0.3">
      <c r="A94" s="48" t="s">
        <v>22</v>
      </c>
      <c r="B94" s="48">
        <f>SUM(B79:B93)</f>
        <v>9</v>
      </c>
      <c r="C94" s="90" t="s">
        <v>33</v>
      </c>
      <c r="D94" s="49"/>
    </row>
    <row r="95" spans="1:4" ht="15" thickBot="1" x14ac:dyDescent="0.35">
      <c r="A95" s="50"/>
      <c r="B95" s="50"/>
      <c r="C95" s="50"/>
      <c r="D95" s="50"/>
    </row>
    <row r="96" spans="1:4" ht="18.75" thickBot="1" x14ac:dyDescent="0.3">
      <c r="A96" s="43" t="s">
        <v>14</v>
      </c>
      <c r="B96" s="44">
        <v>6</v>
      </c>
      <c r="C96" s="45" t="s">
        <v>23</v>
      </c>
      <c r="D96" s="54">
        <f>$D$77+7</f>
        <v>44907</v>
      </c>
    </row>
    <row r="97" spans="1:4" ht="27.75" thickBot="1" x14ac:dyDescent="0.3">
      <c r="A97" s="46" t="s">
        <v>3</v>
      </c>
      <c r="B97" s="47" t="s">
        <v>15</v>
      </c>
      <c r="C97" s="46" t="s">
        <v>7</v>
      </c>
      <c r="D97" s="46" t="s">
        <v>13</v>
      </c>
    </row>
    <row r="98" spans="1:4" x14ac:dyDescent="0.25">
      <c r="A98" s="5" t="s">
        <v>32</v>
      </c>
      <c r="B98" s="4">
        <v>1</v>
      </c>
      <c r="C98" s="91" t="s">
        <v>40</v>
      </c>
      <c r="D98" s="9"/>
    </row>
    <row r="99" spans="1:4" ht="40.5" x14ac:dyDescent="0.25">
      <c r="A99" s="1" t="s">
        <v>43</v>
      </c>
      <c r="B99" s="2">
        <v>8</v>
      </c>
      <c r="C99" s="93" t="s">
        <v>46</v>
      </c>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1"/>
      <c r="B110" s="51"/>
      <c r="C110" s="52"/>
      <c r="D110" s="52"/>
    </row>
    <row r="111" spans="1:4" x14ac:dyDescent="0.25">
      <c r="A111" s="51"/>
      <c r="B111" s="51"/>
      <c r="C111" s="52"/>
      <c r="D111" s="52"/>
    </row>
    <row r="112" spans="1:4" ht="14.25" thickBot="1" x14ac:dyDescent="0.3">
      <c r="A112" s="3"/>
      <c r="B112" s="3"/>
      <c r="C112" s="11"/>
      <c r="D112" s="11"/>
    </row>
    <row r="113" spans="1:4" ht="14.25" thickBot="1" x14ac:dyDescent="0.3">
      <c r="A113" s="48" t="s">
        <v>22</v>
      </c>
      <c r="B113" s="48">
        <f>SUM(B98:B112)</f>
        <v>9</v>
      </c>
      <c r="C113" s="90" t="s">
        <v>33</v>
      </c>
      <c r="D113" s="49"/>
    </row>
    <row r="114" spans="1:4" ht="15" thickBot="1" x14ac:dyDescent="0.35">
      <c r="A114" s="50"/>
      <c r="B114" s="50"/>
      <c r="C114" s="50"/>
      <c r="D114" s="50"/>
    </row>
    <row r="115" spans="1:4" ht="18.75" thickBot="1" x14ac:dyDescent="0.3">
      <c r="A115" s="43" t="s">
        <v>14</v>
      </c>
      <c r="B115" s="44">
        <v>7</v>
      </c>
      <c r="C115" s="45" t="s">
        <v>23</v>
      </c>
      <c r="D115" s="54">
        <f>$D$96+7</f>
        <v>44914</v>
      </c>
    </row>
    <row r="116" spans="1:4" ht="27.75" thickBot="1" x14ac:dyDescent="0.3">
      <c r="A116" s="46" t="s">
        <v>3</v>
      </c>
      <c r="B116" s="47" t="s">
        <v>15</v>
      </c>
      <c r="C116" s="46" t="s">
        <v>7</v>
      </c>
      <c r="D116" s="46" t="s">
        <v>13</v>
      </c>
    </row>
    <row r="117" spans="1:4" x14ac:dyDescent="0.25">
      <c r="A117" s="5"/>
      <c r="B117" s="4"/>
      <c r="C117" s="9"/>
      <c r="D117" s="9"/>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1"/>
      <c r="B129" s="51"/>
      <c r="C129" s="52"/>
      <c r="D129" s="52"/>
    </row>
    <row r="130" spans="1:4" x14ac:dyDescent="0.25">
      <c r="A130" s="51"/>
      <c r="B130" s="51"/>
      <c r="C130" s="52"/>
      <c r="D130" s="52"/>
    </row>
    <row r="131" spans="1:4" ht="14.25" thickBot="1" x14ac:dyDescent="0.3">
      <c r="A131" s="3"/>
      <c r="B131" s="3"/>
      <c r="C131" s="11"/>
      <c r="D131" s="11"/>
    </row>
    <row r="132" spans="1:4" ht="14.25" thickBot="1" x14ac:dyDescent="0.3">
      <c r="A132" s="48" t="s">
        <v>22</v>
      </c>
      <c r="B132" s="48">
        <f>SUM(B117:B131)</f>
        <v>0</v>
      </c>
      <c r="C132" s="90" t="s">
        <v>33</v>
      </c>
      <c r="D132" s="49"/>
    </row>
    <row r="133" spans="1:4" ht="15" thickBot="1" x14ac:dyDescent="0.35">
      <c r="A133" s="50"/>
      <c r="B133" s="50"/>
      <c r="C133" s="50"/>
      <c r="D133" s="50"/>
    </row>
    <row r="134" spans="1:4" ht="18.75" thickBot="1" x14ac:dyDescent="0.3">
      <c r="A134" s="43" t="s">
        <v>14</v>
      </c>
      <c r="B134" s="44">
        <v>8</v>
      </c>
      <c r="C134" s="45" t="s">
        <v>23</v>
      </c>
      <c r="D134" s="54">
        <f>$D$115+7</f>
        <v>44921</v>
      </c>
    </row>
    <row r="135" spans="1:4" ht="27.75" thickBot="1" x14ac:dyDescent="0.3">
      <c r="A135" s="46" t="s">
        <v>3</v>
      </c>
      <c r="B135" s="47" t="s">
        <v>15</v>
      </c>
      <c r="C135" s="46" t="s">
        <v>7</v>
      </c>
      <c r="D135" s="46" t="s">
        <v>13</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1"/>
      <c r="B148" s="51"/>
      <c r="C148" s="52"/>
      <c r="D148" s="52"/>
    </row>
    <row r="149" spans="1:4" x14ac:dyDescent="0.25">
      <c r="A149" s="51"/>
      <c r="B149" s="51"/>
      <c r="C149" s="52"/>
      <c r="D149" s="52"/>
    </row>
    <row r="150" spans="1:4" ht="14.25" thickBot="1" x14ac:dyDescent="0.3">
      <c r="A150" s="3"/>
      <c r="B150" s="3"/>
      <c r="C150" s="11"/>
      <c r="D150" s="11"/>
    </row>
    <row r="151" spans="1:4" ht="14.25" thickBot="1" x14ac:dyDescent="0.3">
      <c r="A151" s="48" t="s">
        <v>22</v>
      </c>
      <c r="B151" s="48">
        <f>SUM(B136:B150)</f>
        <v>0</v>
      </c>
      <c r="C151" s="90" t="s">
        <v>33</v>
      </c>
      <c r="D151" s="49"/>
    </row>
    <row r="152" spans="1:4" ht="14.25" x14ac:dyDescent="0.3">
      <c r="A152" s="50"/>
      <c r="B152" s="50"/>
      <c r="C152" s="50"/>
      <c r="D152" s="50"/>
    </row>
    <row r="153" spans="1:4" x14ac:dyDescent="0.25">
      <c r="A153" s="89" t="s">
        <v>34</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63AF1702-0589-4FCB-A76A-CE3546EBCDA5}">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xr:uid="{DC00E20E-AD0A-4EDE-82C6-DECF0B342006}">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8EE9834F-1101-40D7-9C8B-3083554295D1}">
      <formula1>0</formula1>
      <formula2>NbPerWeek * NbQuartPer</formula2>
    </dataValidation>
    <dataValidation type="list" allowBlank="1" showInputMessage="1" showErrorMessage="1" sqref="A3:A17 A22:A36 A41:A55 A60:A74 A79:A93 A98:A112 A117:A131 A136:A150" xr:uid="{5490CC77-15F7-45D8-B540-CB41D9BE5B46}">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61"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0961"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7" ma:contentTypeDescription="Create a new document." ma:contentTypeScope="" ma:versionID="44e9824ebb565de66444c38a3e4d43df">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116547854b50e63cb554ca1e0163811c"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8CE1FA0-C5D9-4249-851D-83AB4A36B06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83719EA-391A-4C4B-985B-9805B7FCB9D5}">
  <ds:schemaRefs>
    <ds:schemaRef ds:uri="http://schemas.microsoft.com/sharepoint/v3/contenttype/forms"/>
  </ds:schemaRefs>
</ds:datastoreItem>
</file>

<file path=customXml/itemProps3.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11</vt:i4>
      </vt:variant>
    </vt:vector>
  </HeadingPairs>
  <TitlesOfParts>
    <vt:vector size="18" baseType="lpstr">
      <vt:lpstr>Donnees</vt:lpstr>
      <vt:lpstr>DiagramHeader</vt:lpstr>
      <vt:lpstr>DiagramFooter</vt:lpstr>
      <vt:lpstr>PlanificationWeek</vt:lpstr>
      <vt:lpstr>Planning</vt:lpstr>
      <vt:lpstr>achievementWeek</vt:lpstr>
      <vt:lpstr>JNLTRAV</vt:lpstr>
      <vt:lpstr>datDateBegin</vt:lpstr>
      <vt:lpstr>lstTasks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Aurélien Dévaud</dc:creator>
  <cp:lastModifiedBy>Samuel Develey</cp:lastModifiedBy>
  <cp:lastPrinted>2013-08-29T11:33:15Z</cp:lastPrinted>
  <dcterms:created xsi:type="dcterms:W3CDTF">1996-10-21T11:03:58Z</dcterms:created>
  <dcterms:modified xsi:type="dcterms:W3CDTF">2022-12-12T10:20:54Z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